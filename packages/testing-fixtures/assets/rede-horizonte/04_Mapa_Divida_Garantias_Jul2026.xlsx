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eff93bee6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TESOURARIA" sheetId="1" r:id="R50b61333b39d46d5"/>
    <x:sheet xmlns:r="http://schemas.openxmlformats.org/officeDocument/2006/relationships" name="CONTRATOS_DIVIDA" sheetId="2" r:id="R9d46869178f843a7"/>
    <x:sheet xmlns:r="http://schemas.openxmlformats.org/officeDocument/2006/relationships" name="RECEBIVEIS_CARTAO" sheetId="3" r:id="R8f8b71df78e24094"/>
    <x:sheet xmlns:r="http://schemas.openxmlformats.org/officeDocument/2006/relationships" name="ESTOQUES" sheetId="4" r:id="Rf88db1e8e9474d4e"/>
    <x:sheet xmlns:r="http://schemas.openxmlformats.org/officeDocument/2006/relationships" name="IMOVEIS_E_EQUIP" sheetId="5" r:id="Re6a0f9bf405c498b"/>
    <x:sheet xmlns:r="http://schemas.openxmlformats.org/officeDocument/2006/relationships" name="CHECKS" sheetId="6" r:id="Rd563fef786dd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-"/>
    <x:numFmt numFmtId="201" formatCode="0.00x;[Red](0.00x);-"/>
    <x:numFmt numFmtId="202" formatCode="0.0%;[Red](0.0%);-"/>
    <x:numFmt numFmtId="203" formatCode="dd/mm/yyyy"/>
  </x:numFmts>
  <x:fonts count="10">
    <x:font>
      <x:sz val="11"/>
      <x:name val="Carlito"/>
    </x:font>
    <x:font>
      <x:b/>
      <x:sz val="17"/>
      <x:color rgb="FFFFFFFF"/>
      <x:name val="Carlito"/>
    </x:font>
    <x:font>
      <x:i/>
      <x:sz val="10"/>
      <x:color rgb="FF68736E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b/>
      <x:sz val="11"/>
      <x:color rgb="FF1E252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6F3EA"/>
      </x:patternFill>
    </x:fill>
    <x:fill>
      <x:patternFill patternType="solid">
        <x:fgColor rgb="FFFFF2CC"/>
      </x:patternFill>
    </x:fill>
    <x:fill>
      <x:patternFill patternType="solid">
        <x:fgColor rgb="FF17463A"/>
      </x:patternFill>
    </x:fill>
    <x:fill>
      <x:patternFill patternType="solid">
        <x:fgColor rgb="FFE9E1CF"/>
      </x:patternFill>
    </x:fill>
  </x:fills>
  <x:borders count="5">
    <x:border/>
    <x:border>
      <x:bottom style="thin">
        <x:color rgb="FFC9D2CE"/>
      </x:bottom>
    </x:border>
    <x:border>
      <x:top style="thin">
        <x:color rgb="FFC9D2CE"/>
      </x:top>
    </x:border>
    <x:border>
      <x:bottom style="thin">
        <x:color rgb="FF17463A"/>
      </x:bottom>
    </x:border>
    <x:border>
      <x:top style="thin">
        <x:color rgb="FF17463A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0" fontId="7" fillId="0" borderId="2" xfId="0" applyNumberFormat="1" applyFont="1" applyFill="1" applyBorder="1" applyAlignment="1">
      <x:alignment wrapText="1"/>
    </x:xf>
    <x:xf numFmtId="200" fontId="8" fillId="0" borderId="2" xfId="0" applyNumberFormat="1" applyFont="1" applyFill="1" applyBorder="1" applyAlignment="1">
      <x:alignment wrapText="1"/>
    </x:xf>
    <x:xf numFmtId="200" fontId="7" fillId="3" borderId="2" xfId="0" applyNumberFormat="1" applyFont="1" applyFill="1" applyBorder="1" applyAlignment="1">
      <x:alignment wrapText="1"/>
    </x:xf>
    <x:xf numFmtId="200" fontId="8" fillId="3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4" xfId="0" applyNumberFormat="1" applyFont="1" applyFill="1" applyBorder="1"/>
    <x:xf numFmtId="200" fontId="9" fillId="0" borderId="4" xfId="0" applyNumberFormat="1" applyFont="1" applyFill="1" applyBorder="1"/>
    <x:xf numFmtId="200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6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wrapText="1"/>
    </x:xf>
    <x:xf numFmtId="0" fontId="9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d726ed30449f9" /><Relationship Type="http://schemas.openxmlformats.org/officeDocument/2006/relationships/theme" Target="/xl/theme/theme1.xml" Id="R900b31fce7354bc0" /><Relationship Type="http://schemas.openxmlformats.org/officeDocument/2006/relationships/sharedStrings" Target="/xl/sharedStrings.xml" Id="R78d0edd6689a40cb" /><Relationship Type="http://schemas.openxmlformats.org/officeDocument/2006/relationships/worksheet" Target="/xl/worksheets/sheet1.xml" Id="R50b61333b39d46d5" /><Relationship Type="http://schemas.openxmlformats.org/officeDocument/2006/relationships/worksheet" Target="/xl/worksheets/sheet2.xml" Id="R9d46869178f843a7" /><Relationship Type="http://schemas.openxmlformats.org/officeDocument/2006/relationships/worksheet" Target="/xl/worksheets/sheet3.xml" Id="R8f8b71df78e24094" /><Relationship Type="http://schemas.openxmlformats.org/officeDocument/2006/relationships/worksheet" Target="/xl/worksheets/sheet4.xml" Id="Rf88db1e8e9474d4e" /><Relationship Type="http://schemas.openxmlformats.org/officeDocument/2006/relationships/worksheet" Target="/xl/worksheets/sheet5.xml" Id="Re6a0f9bf405c498b" /><Relationship Type="http://schemas.openxmlformats.org/officeDocument/2006/relationships/worksheet" Target="/xl/worksheets/sheet6.xml" Id="Rd563fef786dd4b91" /><Relationship Type="http://schemas.microsoft.com/office/2017/10/relationships/person" Target="/xl/persons/person.xml" Id="Reab561efe4ab4a9f" /></Relationships>
</file>

<file path=xl/persons/person.xml><?xml version="1.0" encoding="utf-8"?>
<xltc:personList xmlns:xltc="http://schemas.microsoft.com/office/spreadsheetml/2018/threadedcomments">
  <xltc:person displayName="User" id="{23B01C38-35AE-4E18-BEBC-04157AD6753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16" hidden="0" customWidth="1"/>
    <x:col min="5" max="5" width="22" hidden="0" customWidth="1"/>
    <x:col min="6" max="6" width="16" hidden="0" customWidth="1"/>
    <x:col min="7" max="7" width="22" hidden="0" customWidth="1"/>
    <x:col min="8" max="8" width="16" hidden="0" customWidth="1"/>
    <x:col min="9" max="9" width="22" hidden="0" customWidth="1"/>
    <x:col min="10" max="10" width="16" hidden="0" customWidth="1"/>
  </x:cols>
  <x:sheetData>
    <x:row r="1" ht="30" customHeight="1">
      <x:c r="A1" s="3" t="str">
        <x:v>TESOURARIA | DÍVIDA E GARANTIAS</x:v>
      </x:c>
      <x:c r="B1" s="3" t="str">
        <x:v>TESOURARIA | DÍVIDA E GARANTIAS</x:v>
      </x:c>
      <x:c r="C1" s="3" t="str">
        <x:v>TESOURARIA | DÍVIDA E GARANTIAS</x:v>
      </x:c>
      <x:c r="D1" s="3" t="str">
        <x:v>TESOURARIA | DÍVIDA E GARANTIAS</x:v>
      </x:c>
      <x:c r="E1" s="3" t="str">
        <x:v>TESOURARIA | DÍVIDA E GARANTIAS</x:v>
      </x:c>
      <x:c r="F1" s="3" t="str">
        <x:v>TESOURARIA | DÍVIDA E GARANTIAS</x:v>
      </x:c>
      <x:c r="G1" s="3" t="str">
        <x:v>TESOURARIA | DÍVIDA E GARANTIAS</x:v>
      </x:c>
      <x:c r="H1" s="3" t="str">
        <x:v>TESOURARIA | DÍVIDA E GARANTIAS</x:v>
      </x:c>
      <x:c r="I1" s="3" t="str">
        <x:v>TESOURARIA | DÍVIDA E GARANTIAS</x:v>
      </x:c>
      <x:c r="J1" s="3" t="str">
        <x:v>TESOURARIA | DÍVIDA E GARANTIAS</x:v>
      </x:c>
    </x:row>
    <x:row r="2" ht="28" customHeight="1">
      <x:c r="A2" s="7" t="str">
        <x:v>Posição preliminar em 31/07/2026. Extração manual de contratos, bases de recebíveis e controles patrimoniais.</x:v>
      </x:c>
      <x:c r="B2" s="7" t="str">
        <x:v>Posição preliminar em 31/07/2026. Extração manual de contratos, bases de recebíveis e controles patrimoniais.</x:v>
      </x:c>
      <x:c r="C2" s="7" t="str">
        <x:v>Posição preliminar em 31/07/2026. Extração manual de contratos, bases de recebíveis e controles patrimoniais.</x:v>
      </x:c>
      <x:c r="D2" s="7" t="str">
        <x:v>Posição preliminar em 31/07/2026. Extração manual de contratos, bases de recebíveis e controles patrimoniais.</x:v>
      </x:c>
      <x:c r="E2" s="7" t="str">
        <x:v>Posição preliminar em 31/07/2026. Extração manual de contratos, bases de recebíveis e controles patrimoniais.</x:v>
      </x:c>
      <x:c r="F2" s="7" t="str">
        <x:v>Posição preliminar em 31/07/2026. Extração manual de contratos, bases de recebíveis e controles patrimoniais.</x:v>
      </x:c>
      <x:c r="G2" s="7" t="str">
        <x:v>Posição preliminar em 31/07/2026. Extração manual de contratos, bases de recebíveis e controles patrimoniais.</x:v>
      </x:c>
      <x:c r="H2" s="7" t="str">
        <x:v>Posição preliminar em 31/07/2026. Extração manual de contratos, bases de recebíveis e controles patrimoniais.</x:v>
      </x:c>
      <x:c r="I2" s="7" t="str">
        <x:v>Posição preliminar em 31/07/2026. Extração manual de contratos, bases de recebíveis e controles patrimoniais.</x:v>
      </x:c>
      <x:c r="J2" s="7" t="str">
        <x:v>Posição preliminar em 31/07/2026. Extração manual de contratos, bases de recebíveis e controles patrimoniais.</x:v>
      </x:c>
    </x:row>
    <x:row r="5">
      <x:c r="A5" s="9" t="str">
        <x:v>Posição consolidada - R$ milhões</x:v>
      </x:c>
      <x:c r="B5" s="9" t="str">
        <x:v>Posição consolidada - R$ milhões</x:v>
      </x:c>
      <x:c r="C5" s="9" t="str">
        <x:v>Posição consolidada - R$ milhões</x:v>
      </x:c>
      <x:c r="D5" s="9" t="str">
        <x:v>Posição consolidada - R$ milhões</x:v>
      </x:c>
      <x:c r="E5" s="9" t="str">
        <x:v>Posição consolidada - R$ milhões</x:v>
      </x:c>
      <x:c r="F5" s="9" t="str">
        <x:v>Posição consolidada - R$ milhões</x:v>
      </x:c>
      <x:c r="G5" s="9" t="str">
        <x:v>Posição consolidada - R$ milhões</x:v>
      </x:c>
      <x:c r="H5" s="9" t="str">
        <x:v>Posição consolidada - R$ milhões</x:v>
      </x:c>
      <x:c r="I5" s="9" t="str">
        <x:v>Posição consolidada - R$ milhões</x:v>
      </x:c>
      <x:c r="J5" s="9" t="str">
        <x:v>Posição consolidada - R$ milhões</x:v>
      </x:c>
    </x:row>
    <x:row r="7" ht="34" customHeight="1">
      <x:c r="A7" s="22" t="str">
        <x:v>Dívida bruta</x:v>
      </x:c>
      <x:c r="B7" s="26" t="n">
        <x:f>SUM('CONTRATOS_DIVIDA'!$H$2:$H$7)</x:f>
        <x:v>68</x:v>
      </x:c>
      <x:c r="C7" s="27" t="str">
        <x:v>Caixa</x:v>
      </x:c>
      <x:c r="D7" s="26" t="n">
        <x:v>9.3</x:v>
      </x:c>
      <x:c r="E7" s="27" t="str">
        <x:v>Dívida líquida</x:v>
      </x:c>
      <x:c r="F7" s="26" t="n">
        <x:f>B7-D7</x:f>
        <x:v>58.7</x:v>
      </x:c>
      <x:c r="G7" s="24" t="str">
        <x:v>EBITDA LTM</x:v>
      </x:c>
      <x:c r="H7" s="18" t="n">
        <x:v>33</x:v>
      </x:c>
      <x:c r="I7" s="24" t="str">
        <x:v>Alavancagem líquida</x:v>
      </x:c>
      <x:c r="J7" s="19" t="n">
        <x:f>F7/H7</x:f>
        <x:v>1.7787878787878788</x:v>
      </x:c>
    </x:row>
    <x:row r="8" ht="34" customHeight="1">
      <x:c r="A8" s="23" t="str">
        <x:v>Parcela a refinanciar</x:v>
      </x:c>
      <x:c r="B8" s="30" t="n">
        <x:v>19</x:v>
      </x:c>
      <x:c r="C8" s="31" t="str">
        <x:v>Nova dívida pretendida</x:v>
      </x:c>
      <x:c r="D8" s="30" t="n">
        <x:v>54</x:v>
      </x:c>
      <x:c r="E8" s="31" t="str">
        <x:v>Incremento líquido de dívida</x:v>
      </x:c>
      <x:c r="F8" s="30" t="n">
        <x:v>35</x:v>
      </x:c>
      <x:c r="G8" s="31" t="str">
        <x:v>Projeto de expansão</x:v>
      </x:c>
      <x:c r="H8" s="30" t="n">
        <x:v>49</x:v>
      </x:c>
      <x:c r="I8" s="31" t="str">
        <x:v>Equity + caixa</x:v>
      </x:c>
      <x:c r="J8" s="30" t="n">
        <x:v>14</x:v>
      </x:c>
    </x:row>
    <x:row r="11">
      <x:c r="A11" s="9" t="str">
        <x:v>Borrowing base preliminar</x:v>
      </x:c>
      <x:c r="B11" s="9" t="str">
        <x:v>Borrowing base preliminar</x:v>
      </x:c>
      <x:c r="C11" s="9" t="str">
        <x:v>Borrowing base preliminar</x:v>
      </x:c>
      <x:c r="D11" s="9" t="str">
        <x:v>Borrowing base preliminar</x:v>
      </x:c>
      <x:c r="E11" s="9" t="str">
        <x:v>Borrowing base preliminar</x:v>
      </x:c>
      <x:c r="F11" s="9" t="str">
        <x:v>Borrowing base preliminar</x:v>
      </x:c>
      <x:c r="G11" s="9" t="str">
        <x:v>Borrowing base preliminar</x:v>
      </x:c>
      <x:c r="H11" s="9" t="str">
        <x:v>Borrowing base preliminar</x:v>
      </x:c>
      <x:c r="I11" s="9" t="str">
        <x:v>Borrowing base preliminar</x:v>
      </x:c>
      <x:c r="J11" s="9" t="str">
        <x:v>Borrowing base preliminar</x:v>
      </x:c>
    </x:row>
    <x:row r="13">
      <x:c r="A13" s="34" t="str">
        <x:v>Classe</x:v>
      </x:c>
      <x:c r="B13" s="34" t="str">
        <x:v>Valor base</x:v>
      </x:c>
      <x:c r="C13" s="34" t="str">
        <x:v>Elegível</x:v>
      </x:c>
      <x:c r="D13" s="34" t="str">
        <x:v>Advance rate</x:v>
      </x:c>
      <x:c r="E13" s="34" t="str">
        <x:v>Capacidade</x:v>
      </x:c>
      <x:c r="F13" s="34" t="str">
        <x:v>Gravame atual</x:v>
      </x:c>
      <x:c r="G13" s="34" t="str">
        <x:v>Condição</x:v>
      </x:c>
      <x:c r="H13"/>
      <x:c r="I13"/>
      <x:c r="J13"/>
    </x:row>
    <x:row r="14">
      <x:c r="A14" t="str">
        <x:v>Recebíveis de cartão</x:v>
      </x:c>
      <x:c r="B14" s="40" t="n">
        <x:v>21.4</x:v>
      </x:c>
      <x:c r="C14" s="40" t="n">
        <x:v>21.4</x:v>
      </x:c>
      <x:c r="D14" s="41" t="n">
        <x:v>0.8</x:v>
      </x:c>
      <x:c r="E14" s="40" t="n">
        <x:f>C14*D14</x:f>
        <x:v>17.12</x:v>
      </x:c>
      <x:c r="F14" t="str">
        <x:v>Cessões parciais</x:v>
      </x:c>
      <x:c r="G14" s="43" t="str">
        <x:v>Liberar recebíveis dos contratos refinanciados</x:v>
      </x:c>
      <x:c r="H14"/>
      <x:c r="I14"/>
      <x:c r="J14"/>
    </x:row>
    <x:row r="15">
      <x:c r="A15" t="str">
        <x:v>Estoques</x:v>
      </x:c>
      <x:c r="B15" s="40" t="n">
        <x:v>29.7</x:v>
      </x:c>
      <x:c r="C15" s="40" t="n">
        <x:v>18.8</x:v>
      </x:c>
      <x:c r="D15" s="41" t="n">
        <x:v>0.8</x:v>
      </x:c>
      <x:c r="E15" s="40" t="n">
        <x:f>C15*D15</x:f>
        <x:v>15.040000000000001</x:v>
      </x:c>
      <x:c r="F15" t="str">
        <x:v>Penhor parcial</x:v>
      </x:c>
      <x:c r="G15" s="43" t="str">
        <x:v>Inventário mensal e exclusão de perecíveis/slow moving</x:v>
      </x:c>
      <x:c r="H15"/>
      <x:c r="I15"/>
      <x:c r="J15"/>
    </x:row>
    <x:row r="16">
      <x:c r="A16" t="str">
        <x:v>CD e equipamentos</x:v>
      </x:c>
      <x:c r="B16" s="40" t="n">
        <x:v>64.1</x:v>
      </x:c>
      <x:c r="C16" s="40" t="n">
        <x:v>27</x:v>
      </x:c>
      <x:c r="D16" s="41" t="n">
        <x:v>0.8</x:v>
      </x:c>
      <x:c r="E16" s="40" t="n">
        <x:f>C16*D16</x:f>
        <x:v>21.6</x:v>
      </x:c>
      <x:c r="F16" t="str">
        <x:v>Hipoteca Banco Interior</x:v>
      </x:c>
      <x:c r="G16" s="43" t="str">
        <x:v>Avaliação e compartilhamento/liberação de gravame</x:v>
      </x:c>
      <x:c r="H16"/>
      <x:c r="I16"/>
      <x:c r="J16"/>
    </x:row>
    <x:row r="17">
      <x:c r="A17" s="38" t="str">
        <x:v>Capacidade total</x:v>
      </x:c>
      <x:c r="B17" s="42"/>
      <x:c r="C17" s="42"/>
      <x:c r="D17" s="42"/>
      <x:c r="E17" s="42" t="n">
        <x:f>SUM(E14:E16)</x:f>
        <x:v>53.760000000000005</x:v>
      </x:c>
      <x:c r="F17" s="38"/>
      <x:c r="G17" s="38"/>
      <x:c r="H17"/>
      <x:c r="I17"/>
      <x:c r="J17"/>
    </x:row>
    <x:row r="19">
      <x:c r="A19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B19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C19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D19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E19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F19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G19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H19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I19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J19" s="47" t="str">
        <x:v>Ponto de atenção: a capacidade preliminar de R$ 53,8 milhões praticamente coincide com a nova dívida de R$ 54,0 milhões. A margem depende de avaliação, elegibilidade mensal e liberação de gravames existentes.</x:v>
      </x:c>
    </x:row>
    <x:row r="20">
      <x:c r="A20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B20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C20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D20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E20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F20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G20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H20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I20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J20" s="47" t="str">
        <x:v>Ponto de atenção: a capacidade preliminar de R$ 53,8 milhões praticamente coincide com a nova dívida de R$ 54,0 milhões. A margem depende de avaliação, elegibilidade mensal e liberação de gravames existentes.</x:v>
      </x:c>
    </x:row>
    <x:row r="21">
      <x:c r="A21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B21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C21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D21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E21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F21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G21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H21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I21" s="47" t="str">
        <x:v>Ponto de atenção: a capacidade preliminar de R$ 53,8 milhões praticamente coincide com a nova dívida de R$ 54,0 milhões. A margem depende de avaliação, elegibilidade mensal e liberação de gravames existentes.</x:v>
      </x:c>
      <x:c r="J21" s="47" t="str">
        <x:v>Ponto de atenção: a capacidade preliminar de R$ 53,8 milhões praticamente coincide com a nova dívida de R$ 54,0 milhões. A margem depende de avaliação, elegibilidade mensal e liberação de gravames existentes.</x:v>
      </x:c>
    </x:row>
  </x:sheetData>
  <x:mergeCells>
    <x:mergeCell ref="A1:J1"/>
    <x:mergeCell ref="A2:J2"/>
    <x:mergeCell ref="A5:J5"/>
    <x:mergeCell ref="A11:J11"/>
    <x:mergeCell ref="A19:J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23" hidden="0" customWidth="1"/>
    <x:col min="10" max="10" width="18" hidden="0" customWidth="1"/>
    <x:col min="11" max="11" width="18" hidden="0" customWidth="1"/>
    <x:col min="12" max="12" width="18" hidden="0" customWidth="1"/>
    <x:col min="13" max="13" width="26" hidden="0" customWidth="1"/>
  </x:cols>
  <x:sheetData>
    <x:row r="1">
      <x:c r="A1" s="34" t="str">
        <x:v>ID</x:v>
      </x:c>
      <x:c r="B1" s="34" t="str">
        <x:v>CREDOR</x:v>
      </x:c>
      <x:c r="C1" s="34" t="str">
        <x:v>PRODUTO</x:v>
      </x:c>
      <x:c r="D1" s="34" t="str">
        <x:v>CONTRATACAO</x:v>
      </x:c>
      <x:c r="E1" s="34" t="str">
        <x:v>VENCIMENTO</x:v>
      </x:c>
      <x:c r="F1" s="34" t="str">
        <x:v>VALOR_ORIGINAL_MM</x:v>
      </x:c>
      <x:c r="G1" s="34" t="str">
        <x:v>AMORTIZADO_MM</x:v>
      </x:c>
      <x:c r="H1" s="34" t="str">
        <x:v>SALDO_JUL26_MM</x:v>
      </x:c>
      <x:c r="I1" s="34" t="str">
        <x:v>CUSTO</x:v>
      </x:c>
      <x:c r="J1" s="34" t="str">
        <x:v>AMORTIZACAO</x:v>
      </x:c>
      <x:c r="K1" s="34" t="str">
        <x:v>GARANTIA</x:v>
      </x:c>
      <x:c r="L1" s="34" t="str">
        <x:v>REFINANCIAR</x:v>
      </x:c>
      <x:c r="M1" s="34" t="str">
        <x:v>OBS_TESOURARIA</x:v>
      </x:c>
    </x:row>
    <x:row r="2">
      <x:c r="A2" t="str">
        <x:v>DIV-001</x:v>
      </x:c>
      <x:c r="B2" t="str">
        <x:v>Banco Horizonte</x:v>
      </x:c>
      <x:c r="C2" t="str">
        <x:v>Capital de giro</x:v>
      </x:c>
      <x:c r="D2" s="48" t="n">
        <x:v>45366</x:v>
      </x:c>
      <x:c r="E2" s="48" t="n">
        <x:v>46461</x:v>
      </x:c>
      <x:c r="F2" s="10" t="n">
        <x:v>20</x:v>
      </x:c>
      <x:c r="G2" s="10" t="n">
        <x:v>5</x:v>
      </x:c>
      <x:c r="H2" s="10" t="n">
        <x:v>15</x:v>
      </x:c>
      <x:c r="I2" t="str">
        <x:v>CDI + 3,20%</x:v>
      </x:c>
      <x:c r="J2" t="str">
        <x:v>Bullet</x:v>
      </x:c>
      <x:c r="K2" t="str">
        <x:v>Recebíveis</x:v>
      </x:c>
      <x:c r="L2" t="str">
        <x:v>SIM</x:v>
      </x:c>
      <x:c r="M2" t="str">
        <x:v>Refinanciar</x:v>
      </x:c>
    </x:row>
    <x:row r="3">
      <x:c r="A3" t="str">
        <x:v>DIV-002</x:v>
      </x:c>
      <x:c r="B3" t="str">
        <x:v>Banco Sul</x:v>
      </x:c>
      <x:c r="C3" t="str">
        <x:v>Finame equipamentos</x:v>
      </x:c>
      <x:c r="D3" s="48" t="n">
        <x:v>45107</x:v>
      </x:c>
      <x:c r="E3" s="48" t="n">
        <x:v>47299</x:v>
      </x:c>
      <x:c r="F3" s="10" t="n">
        <x:v>18</x:v>
      </x:c>
      <x:c r="G3" s="10" t="n">
        <x:v>6</x:v>
      </x:c>
      <x:c r="H3" s="10" t="n">
        <x:v>12</x:v>
      </x:c>
      <x:c r="I3" t="str">
        <x:v>CDI + 2,60%</x:v>
      </x:c>
      <x:c r="J3" t="str">
        <x:v>Mensal</x:v>
      </x:c>
      <x:c r="K3" t="str">
        <x:v>Equipamentos</x:v>
      </x:c>
      <x:c r="L3" t="str">
        <x:v>NÃO</x:v>
      </x:c>
      <x:c r="M3" t="str">
        <x:v>Manter</x:v>
      </x:c>
    </x:row>
    <x:row r="4">
      <x:c r="A4" t="str">
        <x:v>DIV-003</x:v>
      </x:c>
      <x:c r="B4" t="str">
        <x:v>FIDC Alfa</x:v>
      </x:c>
      <x:c r="C4" t="str">
        <x:v>Antecipação de cartões</x:v>
      </x:c>
      <x:c r="D4" s="48" t="n">
        <x:v>45667</x:v>
      </x:c>
      <x:c r="E4" s="48" t="n">
        <x:v>46660</x:v>
      </x:c>
      <x:c r="F4" s="10" t="n">
        <x:v>16</x:v>
      </x:c>
      <x:c r="G4" s="10" t="n">
        <x:v>2</x:v>
      </x:c>
      <x:c r="H4" s="10" t="n">
        <x:v>14</x:v>
      </x:c>
      <x:c r="I4" t="str">
        <x:v>CDI + 4,10%</x:v>
      </x:c>
      <x:c r="J4" t="str">
        <x:v>Rotativo</x:v>
      </x:c>
      <x:c r="K4" t="str">
        <x:v>Recebíveis</x:v>
      </x:c>
      <x:c r="L4" t="str">
        <x:v>NÃO</x:v>
      </x:c>
      <x:c r="M4" t="str">
        <x:v>Manter/reprecificar</x:v>
      </x:c>
    </x:row>
    <x:row r="5">
      <x:c r="A5" t="str">
        <x:v>DIV-004</x:v>
      </x:c>
      <x:c r="B5" t="str">
        <x:v>Banco Interior</x:v>
      </x:c>
      <x:c r="C5" t="str">
        <x:v>Financiamento imobiliário</x:v>
      </x:c>
      <x:c r="D5" s="48" t="n">
        <x:v>44805</x:v>
      </x:c>
      <x:c r="E5" s="48" t="n">
        <x:v>47727</x:v>
      </x:c>
      <x:c r="F5" s="10" t="n">
        <x:v>24</x:v>
      </x:c>
      <x:c r="G5" s="10" t="n">
        <x:v>6</x:v>
      </x:c>
      <x:c r="H5" s="10" t="n">
        <x:v>18</x:v>
      </x:c>
      <x:c r="I5" t="str">
        <x:v>IPCA + 7,50%</x:v>
      </x:c>
      <x:c r="J5" t="str">
        <x:v>Mensal</x:v>
      </x:c>
      <x:c r="K5" t="str">
        <x:v>Hipoteca do CD</x:v>
      </x:c>
      <x:c r="L5" t="str">
        <x:v>NÃO</x:v>
      </x:c>
      <x:c r="M5" t="str">
        <x:v>Manter</x:v>
      </x:c>
    </x:row>
    <x:row r="6">
      <x:c r="A6" t="str">
        <x:v>DIV-005</x:v>
      </x:c>
      <x:c r="B6" t="str">
        <x:v>Fornecedor FrioMax</x:v>
      </x:c>
      <x:c r="C6" t="str">
        <x:v>Equipamentos</x:v>
      </x:c>
      <x:c r="D6" s="48" t="n">
        <x:v>45748</x:v>
      </x:c>
      <x:c r="E6" s="48" t="n">
        <x:v>46722</x:v>
      </x:c>
      <x:c r="F6" s="10" t="n">
        <x:v>7</x:v>
      </x:c>
      <x:c r="G6" s="10" t="n">
        <x:v>2</x:v>
      </x:c>
      <x:c r="H6" s="10" t="n">
        <x:v>5</x:v>
      </x:c>
      <x:c r="I6" t="str">
        <x:v>15,0% a.a. prefixado</x:v>
      </x:c>
      <x:c r="J6" t="str">
        <x:v>Mensal</x:v>
      </x:c>
      <x:c r="K6" t="str">
        <x:v>Equipamentos</x:v>
      </x:c>
      <x:c r="L6" t="str">
        <x:v>NÃO</x:v>
      </x:c>
      <x:c r="M6" t="str">
        <x:v>Manter</x:v>
      </x:c>
    </x:row>
    <x:row r="7">
      <x:c r="A7" t="str">
        <x:v>DIV-006</x:v>
      </x:c>
      <x:c r="B7" t="str">
        <x:v>Banco Horizonte</x:v>
      </x:c>
      <x:c r="C7" t="str">
        <x:v>Conta garantida</x:v>
      </x:c>
      <x:c r="D7" s="48" t="n">
        <x:v>46027</x:v>
      </x:c>
      <x:c r="E7" s="48" t="n">
        <x:v>46376</x:v>
      </x:c>
      <x:c r="F7" s="10" t="n">
        <x:v>4</x:v>
      </x:c>
      <x:c r="G7" s="10" t="n">
        <x:v>0</x:v>
      </x:c>
      <x:c r="H7" s="10" t="n">
        <x:v>4</x:v>
      </x:c>
      <x:c r="I7" t="str">
        <x:v>CDI + 5,00%</x:v>
      </x:c>
      <x:c r="J7" t="str">
        <x:v>Bullet</x:v>
      </x:c>
      <x:c r="K7" t="str">
        <x:v>Sem garantia real</x:v>
      </x:c>
      <x:c r="L7" t="str">
        <x:v>SIM</x:v>
      </x:c>
      <x:c r="M7" t="str">
        <x:v>Refinanciar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4" hidden="0" customWidth="1"/>
    <x:col min="5" max="5" width="18" hidden="0" customWidth="1"/>
    <x:col min="6" max="6" width="1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4" t="str">
        <x:v>LOTE</x:v>
      </x:c>
      <x:c r="B1" s="34" t="str">
        <x:v>ADQUIRENTE</x:v>
      </x:c>
      <x:c r="C1" s="34" t="str">
        <x:v>UNIDADE</x:v>
      </x:c>
      <x:c r="D1" s="34" t="str">
        <x:v>LIQUIDACAO</x:v>
      </x:c>
      <x:c r="E1" s="34" t="str">
        <x:v>VALOR_BRUTO_MM</x:v>
      </x:c>
      <x:c r="F1" s="34" t="str">
        <x:v>ELEGIVEL</x:v>
      </x:c>
      <x:c r="G1" s="34" t="str">
        <x:v>MOTIVO_EXCLUSAO</x:v>
      </x:c>
      <x:c r="H1" s="34" t="str">
        <x:v>VALOR_ELEGIVEL_MM</x:v>
      </x:c>
      <x:c r="I1" s="34" t="str">
        <x:v>ADVANCE_RATE</x:v>
      </x:c>
      <x:c r="J1" s="34" t="str">
        <x:v>CAPACIDADE_MM</x:v>
      </x:c>
    </x:row>
    <x:row r="2">
      <x:c r="A2" t="str">
        <x:v>REC-001</x:v>
      </x:c>
      <x:c r="B2" t="str">
        <x:v>Cielo</x:v>
      </x:c>
      <x:c r="C2" t="str">
        <x:v>LJ01</x:v>
      </x:c>
      <x:c r="D2" s="48" t="n">
        <x:v>46235</x:v>
      </x:c>
      <x:c r="E2" s="10" t="n">
        <x:v>0.45</x:v>
      </x:c>
      <x:c r="F2" t="str">
        <x:v>NÃO</x:v>
      </x:c>
      <x:c r="G2" t="str">
        <x:v>Prazo &gt; 60 dias</x:v>
      </x:c>
      <x:c r="H2" s="10" t="n">
        <x:v>0</x:v>
      </x:c>
      <x:c r="I2" s="35" t="n">
        <x:v>0.8</x:v>
      </x:c>
      <x:c r="J2" s="10" t="n">
        <x:f>H2*I2</x:f>
        <x:v>0</x:v>
      </x:c>
    </x:row>
    <x:row r="3">
      <x:c r="A3" t="str">
        <x:v>REC-002</x:v>
      </x:c>
      <x:c r="B3" t="str">
        <x:v>Rede</x:v>
      </x:c>
      <x:c r="C3" t="str">
        <x:v>LJ02</x:v>
      </x:c>
      <x:c r="D3" s="48" t="n">
        <x:v>46236</x:v>
      </x:c>
      <x:c r="E3" s="10" t="n">
        <x:v>0.62</x:v>
      </x:c>
      <x:c r="F3" t="str">
        <x:v>SIM</x:v>
      </x:c>
      <x:c r="G3" t="str"/>
      <x:c r="H3" s="10" t="n">
        <x:v>0.62</x:v>
      </x:c>
      <x:c r="I3" s="35" t="n">
        <x:v>0.8</x:v>
      </x:c>
      <x:c r="J3" s="10" t="n">
        <x:f>H3*I3</x:f>
        <x:v>0.496</x:v>
      </x:c>
    </x:row>
    <x:row r="4">
      <x:c r="A4" t="str">
        <x:v>REC-003</x:v>
      </x:c>
      <x:c r="B4" t="str">
        <x:v>Stone</x:v>
      </x:c>
      <x:c r="C4" t="str">
        <x:v>LJ03</x:v>
      </x:c>
      <x:c r="D4" s="48" t="n">
        <x:v>46237</x:v>
      </x:c>
      <x:c r="E4" s="10" t="n">
        <x:v>0.79</x:v>
      </x:c>
      <x:c r="F4" t="str">
        <x:v>SIM</x:v>
      </x:c>
      <x:c r="G4" t="str"/>
      <x:c r="H4" s="10" t="n">
        <x:v>0.79</x:v>
      </x:c>
      <x:c r="I4" s="35" t="n">
        <x:v>0.8</x:v>
      </x:c>
      <x:c r="J4" s="10" t="n">
        <x:f>H4*I4</x:f>
        <x:v>0.6320000000000001</x:v>
      </x:c>
    </x:row>
    <x:row r="5">
      <x:c r="A5" t="str">
        <x:v>REC-004</x:v>
      </x:c>
      <x:c r="B5" t="str">
        <x:v>Getnet</x:v>
      </x:c>
      <x:c r="C5" t="str">
        <x:v>LJ04</x:v>
      </x:c>
      <x:c r="D5" s="48" t="n">
        <x:v>46238</x:v>
      </x:c>
      <x:c r="E5" s="10" t="n">
        <x:v>0.96</x:v>
      </x:c>
      <x:c r="F5" t="str">
        <x:v>SIM</x:v>
      </x:c>
      <x:c r="G5" t="str"/>
      <x:c r="H5" s="10" t="n">
        <x:v>0.96</x:v>
      </x:c>
      <x:c r="I5" s="35" t="n">
        <x:v>0.8</x:v>
      </x:c>
      <x:c r="J5" s="10" t="n">
        <x:f>H5*I5</x:f>
        <x:v>0.768</x:v>
      </x:c>
    </x:row>
    <x:row r="6">
      <x:c r="A6" t="str">
        <x:v>REC-005</x:v>
      </x:c>
      <x:c r="B6" t="str">
        <x:v>PagSeguro</x:v>
      </x:c>
      <x:c r="C6" t="str">
        <x:v>LJ05</x:v>
      </x:c>
      <x:c r="D6" s="48" t="n">
        <x:v>46239</x:v>
      </x:c>
      <x:c r="E6" s="10" t="n">
        <x:v>0.52</x:v>
      </x:c>
      <x:c r="F6" t="str">
        <x:v>SIM</x:v>
      </x:c>
      <x:c r="G6" t="str"/>
      <x:c r="H6" s="10" t="n">
        <x:v>0.52</x:v>
      </x:c>
      <x:c r="I6" s="35" t="n">
        <x:v>0.8</x:v>
      </x:c>
      <x:c r="J6" s="10" t="n">
        <x:f>H6*I6</x:f>
        <x:v>0.41600000000000004</x:v>
      </x:c>
    </x:row>
    <x:row r="7">
      <x:c r="A7" t="str">
        <x:v>REC-006</x:v>
      </x:c>
      <x:c r="B7" t="str">
        <x:v>SafraPay</x:v>
      </x:c>
      <x:c r="C7" t="str">
        <x:v>LJ06</x:v>
      </x:c>
      <x:c r="D7" s="48" t="n">
        <x:v>46240</x:v>
      </x:c>
      <x:c r="E7" s="10" t="n">
        <x:v>0.69</x:v>
      </x:c>
      <x:c r="F7" t="str">
        <x:v>SIM</x:v>
      </x:c>
      <x:c r="G7" t="str"/>
      <x:c r="H7" s="10" t="n">
        <x:v>0.69</x:v>
      </x:c>
      <x:c r="I7" s="35" t="n">
        <x:v>0.8</x:v>
      </x:c>
      <x:c r="J7" s="10" t="n">
        <x:f>H7*I7</x:f>
        <x:v>0.5519999999999999</x:v>
      </x:c>
    </x:row>
    <x:row r="8">
      <x:c r="A8" t="str">
        <x:v>REC-007</x:v>
      </x:c>
      <x:c r="B8" t="str">
        <x:v>Cielo</x:v>
      </x:c>
      <x:c r="C8" t="str">
        <x:v>LJ07</x:v>
      </x:c>
      <x:c r="D8" s="48" t="n">
        <x:v>46241</x:v>
      </x:c>
      <x:c r="E8" s="10" t="n">
        <x:v>0.86</x:v>
      </x:c>
      <x:c r="F8" t="str">
        <x:v>SIM</x:v>
      </x:c>
      <x:c r="G8" t="str"/>
      <x:c r="H8" s="10" t="n">
        <x:v>0.86</x:v>
      </x:c>
      <x:c r="I8" s="35" t="n">
        <x:v>0.8</x:v>
      </x:c>
      <x:c r="J8" s="10" t="n">
        <x:f>H8*I8</x:f>
        <x:v>0.6880000000000001</x:v>
      </x:c>
    </x:row>
    <x:row r="9">
      <x:c r="A9" t="str">
        <x:v>REC-008</x:v>
      </x:c>
      <x:c r="B9" t="str">
        <x:v>Rede</x:v>
      </x:c>
      <x:c r="C9" t="str">
        <x:v>LJ08</x:v>
      </x:c>
      <x:c r="D9" s="48" t="n">
        <x:v>46242</x:v>
      </x:c>
      <x:c r="E9" s="10" t="n">
        <x:v>1.03</x:v>
      </x:c>
      <x:c r="F9" t="str">
        <x:v>SIM</x:v>
      </x:c>
      <x:c r="G9" t="str"/>
      <x:c r="H9" s="10" t="n">
        <x:v>1.03</x:v>
      </x:c>
      <x:c r="I9" s="35" t="n">
        <x:v>0.8</x:v>
      </x:c>
      <x:c r="J9" s="10" t="n">
        <x:f>H9*I9</x:f>
        <x:v>0.8240000000000001</x:v>
      </x:c>
    </x:row>
    <x:row r="10">
      <x:c r="A10" t="str">
        <x:v>REC-009</x:v>
      </x:c>
      <x:c r="B10" t="str">
        <x:v>Stone</x:v>
      </x:c>
      <x:c r="C10" t="str">
        <x:v>LJ09</x:v>
      </x:c>
      <x:c r="D10" s="48" t="n">
        <x:v>46243</x:v>
      </x:c>
      <x:c r="E10" s="10" t="n">
        <x:v>0.59</x:v>
      </x:c>
      <x:c r="F10" t="str">
        <x:v>SIM</x:v>
      </x:c>
      <x:c r="G10" t="str"/>
      <x:c r="H10" s="10" t="n">
        <x:v>0.59</x:v>
      </x:c>
      <x:c r="I10" s="35" t="n">
        <x:v>0.8</x:v>
      </x:c>
      <x:c r="J10" s="10" t="n">
        <x:f>H10*I10</x:f>
        <x:v>0.472</x:v>
      </x:c>
    </x:row>
    <x:row r="11">
      <x:c r="A11" t="str">
        <x:v>REC-010</x:v>
      </x:c>
      <x:c r="B11" t="str">
        <x:v>Getnet</x:v>
      </x:c>
      <x:c r="C11" t="str">
        <x:v>LJ10</x:v>
      </x:c>
      <x:c r="D11" s="48" t="n">
        <x:v>46244</x:v>
      </x:c>
      <x:c r="E11" s="10" t="n">
        <x:v>0.76</x:v>
      </x:c>
      <x:c r="F11" t="str">
        <x:v>SIM</x:v>
      </x:c>
      <x:c r="G11" t="str"/>
      <x:c r="H11" s="10" t="n">
        <x:v>0.76</x:v>
      </x:c>
      <x:c r="I11" s="35" t="n">
        <x:v>0.8</x:v>
      </x:c>
      <x:c r="J11" s="10" t="n">
        <x:f>H11*I11</x:f>
        <x:v>0.6080000000000001</x:v>
      </x:c>
    </x:row>
    <x:row r="12">
      <x:c r="A12" t="str">
        <x:v>REC-011</x:v>
      </x:c>
      <x:c r="B12" t="str">
        <x:v>PagSeguro</x:v>
      </x:c>
      <x:c r="C12" t="str">
        <x:v>LJ11</x:v>
      </x:c>
      <x:c r="D12" s="48" t="n">
        <x:v>46245</x:v>
      </x:c>
      <x:c r="E12" s="10" t="n">
        <x:v>0.93</x:v>
      </x:c>
      <x:c r="F12" t="str">
        <x:v>SIM</x:v>
      </x:c>
      <x:c r="G12" t="str"/>
      <x:c r="H12" s="10" t="n">
        <x:v>0.93</x:v>
      </x:c>
      <x:c r="I12" s="35" t="n">
        <x:v>0.8</x:v>
      </x:c>
      <x:c r="J12" s="10" t="n">
        <x:f>H12*I12</x:f>
        <x:v>0.7440000000000001</x:v>
      </x:c>
    </x:row>
    <x:row r="13">
      <x:c r="A13" t="str">
        <x:v>REC-012</x:v>
      </x:c>
      <x:c r="B13" t="str">
        <x:v>SafraPay</x:v>
      </x:c>
      <x:c r="C13" t="str">
        <x:v>LJ12</x:v>
      </x:c>
      <x:c r="D13" s="48" t="n">
        <x:v>46246</x:v>
      </x:c>
      <x:c r="E13" s="10" t="n">
        <x:v>0.49</x:v>
      </x:c>
      <x:c r="F13" t="str">
        <x:v>NÃO</x:v>
      </x:c>
      <x:c r="G13" t="str">
        <x:v>Já cedido</x:v>
      </x:c>
      <x:c r="H13" s="10" t="n">
        <x:v>0</x:v>
      </x:c>
      <x:c r="I13" s="35" t="n">
        <x:v>0.8</x:v>
      </x:c>
      <x:c r="J13" s="10" t="n">
        <x:f>H13*I13</x:f>
        <x:v>0</x:v>
      </x:c>
    </x:row>
    <x:row r="14">
      <x:c r="A14" t="str">
        <x:v>REC-013</x:v>
      </x:c>
      <x:c r="B14" t="str">
        <x:v>Cielo</x:v>
      </x:c>
      <x:c r="C14" t="str">
        <x:v>LJ01</x:v>
      </x:c>
      <x:c r="D14" s="48" t="n">
        <x:v>46247</x:v>
      </x:c>
      <x:c r="E14" s="10" t="n">
        <x:v>0.66</x:v>
      </x:c>
      <x:c r="F14" t="str">
        <x:v>SIM</x:v>
      </x:c>
      <x:c r="G14" t="str"/>
      <x:c r="H14" s="10" t="n">
        <x:v>0.66</x:v>
      </x:c>
      <x:c r="I14" s="35" t="n">
        <x:v>0.8</x:v>
      </x:c>
      <x:c r="J14" s="10" t="n">
        <x:f>H14*I14</x:f>
        <x:v>0.528</x:v>
      </x:c>
    </x:row>
    <x:row r="15">
      <x:c r="A15" t="str">
        <x:v>REC-014</x:v>
      </x:c>
      <x:c r="B15" t="str">
        <x:v>Rede</x:v>
      </x:c>
      <x:c r="C15" t="str">
        <x:v>LJ02</x:v>
      </x:c>
      <x:c r="D15" s="48" t="n">
        <x:v>46248</x:v>
      </x:c>
      <x:c r="E15" s="10" t="n">
        <x:v>0.83</x:v>
      </x:c>
      <x:c r="F15" t="str">
        <x:v>SIM</x:v>
      </x:c>
      <x:c r="G15" t="str"/>
      <x:c r="H15" s="10" t="n">
        <x:v>0.83</x:v>
      </x:c>
      <x:c r="I15" s="35" t="n">
        <x:v>0.8</x:v>
      </x:c>
      <x:c r="J15" s="10" t="n">
        <x:f>H15*I15</x:f>
        <x:v>0.664</x:v>
      </x:c>
    </x:row>
    <x:row r="16">
      <x:c r="A16" t="str">
        <x:v>REC-015</x:v>
      </x:c>
      <x:c r="B16" t="str">
        <x:v>Stone</x:v>
      </x:c>
      <x:c r="C16" t="str">
        <x:v>LJ03</x:v>
      </x:c>
      <x:c r="D16" s="48" t="n">
        <x:v>46249</x:v>
      </x:c>
      <x:c r="E16" s="10" t="n">
        <x:v>1</x:v>
      </x:c>
      <x:c r="F16" t="str">
        <x:v>SIM</x:v>
      </x:c>
      <x:c r="G16" t="str"/>
      <x:c r="H16" s="10" t="n">
        <x:v>1</x:v>
      </x:c>
      <x:c r="I16" s="35" t="n">
        <x:v>0.8</x:v>
      </x:c>
      <x:c r="J16" s="10" t="n">
        <x:f>H16*I16</x:f>
        <x:v>0.8</x:v>
      </x:c>
    </x:row>
    <x:row r="17">
      <x:c r="A17" t="str">
        <x:v>REC-016</x:v>
      </x:c>
      <x:c r="B17" t="str">
        <x:v>Getnet</x:v>
      </x:c>
      <x:c r="C17" t="str">
        <x:v>LJ04</x:v>
      </x:c>
      <x:c r="D17" s="48" t="n">
        <x:v>46250</x:v>
      </x:c>
      <x:c r="E17" s="10" t="n">
        <x:v>0.56</x:v>
      </x:c>
      <x:c r="F17" t="str">
        <x:v>SIM</x:v>
      </x:c>
      <x:c r="G17" t="str"/>
      <x:c r="H17" s="10" t="n">
        <x:v>0.56</x:v>
      </x:c>
      <x:c r="I17" s="35" t="n">
        <x:v>0.8</x:v>
      </x:c>
      <x:c r="J17" s="10" t="n">
        <x:f>H17*I17</x:f>
        <x:v>0.44800000000000006</x:v>
      </x:c>
    </x:row>
    <x:row r="18">
      <x:c r="A18" t="str">
        <x:v>REC-017</x:v>
      </x:c>
      <x:c r="B18" t="str">
        <x:v>PagSeguro</x:v>
      </x:c>
      <x:c r="C18" t="str">
        <x:v>LJ05</x:v>
      </x:c>
      <x:c r="D18" s="48" t="n">
        <x:v>46251</x:v>
      </x:c>
      <x:c r="E18" s="10" t="n">
        <x:v>0.73</x:v>
      </x:c>
      <x:c r="F18" t="str">
        <x:v>SIM</x:v>
      </x:c>
      <x:c r="G18" t="str"/>
      <x:c r="H18" s="10" t="n">
        <x:v>0.73</x:v>
      </x:c>
      <x:c r="I18" s="35" t="n">
        <x:v>0.8</x:v>
      </x:c>
      <x:c r="J18" s="10" t="n">
        <x:f>H18*I18</x:f>
        <x:v>0.584</x:v>
      </x:c>
    </x:row>
    <x:row r="19">
      <x:c r="A19" t="str">
        <x:v>REC-018</x:v>
      </x:c>
      <x:c r="B19" t="str">
        <x:v>SafraPay</x:v>
      </x:c>
      <x:c r="C19" t="str">
        <x:v>LJ06</x:v>
      </x:c>
      <x:c r="D19" s="48" t="n">
        <x:v>46252</x:v>
      </x:c>
      <x:c r="E19" s="10" t="n">
        <x:v>0.9</x:v>
      </x:c>
      <x:c r="F19" t="str">
        <x:v>SIM</x:v>
      </x:c>
      <x:c r="G19" t="str"/>
      <x:c r="H19" s="10" t="n">
        <x:v>0.9</x:v>
      </x:c>
      <x:c r="I19" s="35" t="n">
        <x:v>0.8</x:v>
      </x:c>
      <x:c r="J19" s="10" t="n">
        <x:f>H19*I19</x:f>
        <x:v>0.7200000000000001</x:v>
      </x:c>
    </x:row>
    <x:row r="20">
      <x:c r="A20" t="str">
        <x:v>REC-019</x:v>
      </x:c>
      <x:c r="B20" t="str">
        <x:v>Cielo</x:v>
      </x:c>
      <x:c r="C20" t="str">
        <x:v>LJ07</x:v>
      </x:c>
      <x:c r="D20" s="48" t="n">
        <x:v>46253</x:v>
      </x:c>
      <x:c r="E20" s="10" t="n">
        <x:v>0.46</x:v>
      </x:c>
      <x:c r="F20" t="str">
        <x:v>SIM</x:v>
      </x:c>
      <x:c r="G20" t="str"/>
      <x:c r="H20" s="10" t="n">
        <x:v>0.46</x:v>
      </x:c>
      <x:c r="I20" s="35" t="n">
        <x:v>0.8</x:v>
      </x:c>
      <x:c r="J20" s="10" t="n">
        <x:f>H20*I20</x:f>
        <x:v>0.36800000000000005</x:v>
      </x:c>
    </x:row>
    <x:row r="21">
      <x:c r="A21" t="str">
        <x:v>REC-020</x:v>
      </x:c>
      <x:c r="B21" t="str">
        <x:v>Rede</x:v>
      </x:c>
      <x:c r="C21" t="str">
        <x:v>LJ08</x:v>
      </x:c>
      <x:c r="D21" s="48" t="n">
        <x:v>46254</x:v>
      </x:c>
      <x:c r="E21" s="10" t="n">
        <x:v>0.63</x:v>
      </x:c>
      <x:c r="F21" t="str">
        <x:v>SIM</x:v>
      </x:c>
      <x:c r="G21" t="str"/>
      <x:c r="H21" s="10" t="n">
        <x:v>0.63</x:v>
      </x:c>
      <x:c r="I21" s="35" t="n">
        <x:v>0.8</x:v>
      </x:c>
      <x:c r="J21" s="10" t="n">
        <x:f>H21*I21</x:f>
        <x:v>0.504</x:v>
      </x:c>
    </x:row>
    <x:row r="22">
      <x:c r="A22" t="str">
        <x:v>REC-021</x:v>
      </x:c>
      <x:c r="B22" t="str">
        <x:v>Stone</x:v>
      </x:c>
      <x:c r="C22" t="str">
        <x:v>LJ09</x:v>
      </x:c>
      <x:c r="D22" s="48" t="n">
        <x:v>46255</x:v>
      </x:c>
      <x:c r="E22" s="10" t="n">
        <x:v>0.8</x:v>
      </x:c>
      <x:c r="F22" t="str">
        <x:v>SIM</x:v>
      </x:c>
      <x:c r="G22" t="str"/>
      <x:c r="H22" s="10" t="n">
        <x:v>0.8</x:v>
      </x:c>
      <x:c r="I22" s="35" t="n">
        <x:v>0.8</x:v>
      </x:c>
      <x:c r="J22" s="10" t="n">
        <x:f>H22*I22</x:f>
        <x:v>0.6400000000000001</x:v>
      </x:c>
    </x:row>
    <x:row r="23">
      <x:c r="A23" t="str">
        <x:v>REC-022</x:v>
      </x:c>
      <x:c r="B23" t="str">
        <x:v>Getnet</x:v>
      </x:c>
      <x:c r="C23" t="str">
        <x:v>LJ10</x:v>
      </x:c>
      <x:c r="D23" s="48" t="n">
        <x:v>46256</x:v>
      </x:c>
      <x:c r="E23" s="10" t="n">
        <x:v>0.97</x:v>
      </x:c>
      <x:c r="F23" t="str">
        <x:v>SIM</x:v>
      </x:c>
      <x:c r="G23" t="str"/>
      <x:c r="H23" s="10" t="n">
        <x:v>0.97</x:v>
      </x:c>
      <x:c r="I23" s="35" t="n">
        <x:v>0.8</x:v>
      </x:c>
      <x:c r="J23" s="10" t="n">
        <x:f>H23*I23</x:f>
        <x:v>0.776</x:v>
      </x:c>
    </x:row>
    <x:row r="24">
      <x:c r="A24" t="str">
        <x:v>REC-023</x:v>
      </x:c>
      <x:c r="B24" t="str">
        <x:v>PagSeguro</x:v>
      </x:c>
      <x:c r="C24" t="str">
        <x:v>LJ11</x:v>
      </x:c>
      <x:c r="D24" s="48" t="n">
        <x:v>46257</x:v>
      </x:c>
      <x:c r="E24" s="10" t="n">
        <x:v>0.53</x:v>
      </x:c>
      <x:c r="F24" t="str">
        <x:v>NÃO</x:v>
      </x:c>
      <x:c r="G24" t="str">
        <x:v>Prazo &gt; 60 dias</x:v>
      </x:c>
      <x:c r="H24" s="10" t="n">
        <x:v>0</x:v>
      </x:c>
      <x:c r="I24" s="35" t="n">
        <x:v>0.8</x:v>
      </x:c>
      <x:c r="J24" s="10" t="n">
        <x:f>H24*I24</x:f>
        <x:v>0</x:v>
      </x:c>
    </x:row>
    <x:row r="25">
      <x:c r="A25" t="str">
        <x:v>REC-024</x:v>
      </x:c>
      <x:c r="B25" t="str">
        <x:v>SafraPay</x:v>
      </x:c>
      <x:c r="C25" t="str">
        <x:v>LJ12</x:v>
      </x:c>
      <x:c r="D25" s="48" t="n">
        <x:v>46258</x:v>
      </x:c>
      <x:c r="E25" s="10" t="n">
        <x:v>4.64</x:v>
      </x:c>
      <x:c r="F25" t="str">
        <x:v>SIM</x:v>
      </x:c>
      <x:c r="G25" t="str"/>
      <x:c r="H25" s="10" t="n">
        <x:v>4.64</x:v>
      </x:c>
      <x:c r="I25" s="35" t="n">
        <x:v>0.8</x:v>
      </x:c>
      <x:c r="J25" s="10" t="n">
        <x:f>H25*I25</x:f>
        <x:v>3.7119999999999997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8" hidden="0" customWidth="1"/>
  </x:cols>
  <x:sheetData>
    <x:row r="1">
      <x:c r="A1" s="34" t="str">
        <x:v>UNIDADE</x:v>
      </x:c>
      <x:c r="B1" s="34" t="str">
        <x:v>DESCRICAO</x:v>
      </x:c>
      <x:c r="C1" s="34" t="str">
        <x:v>ESTOQUE_BRUTO_MM</x:v>
      </x:c>
      <x:c r="D1" s="34" t="str">
        <x:v>PERECIVEIS_MM</x:v>
      </x:c>
      <x:c r="E1" s="34" t="str">
        <x:v>SLOW_MOVING_AVARIAS_MM</x:v>
      </x:c>
      <x:c r="F1" s="34" t="str">
        <x:v>ELEGIVEL_MM</x:v>
      </x:c>
      <x:c r="G1" s="34" t="str">
        <x:v>ADVANCE_RATE</x:v>
      </x:c>
      <x:c r="H1" s="34" t="str">
        <x:v>CAPACIDADE_MM</x:v>
      </x:c>
      <x:c r="I1" s="34" t="str">
        <x:v>CRITERIO</x:v>
      </x:c>
    </x:row>
    <x:row r="2">
      <x:c r="A2" t="str">
        <x:v>LJ01</x:v>
      </x:c>
      <x:c r="B2" t="str">
        <x:v>Loja 01</x:v>
      </x:c>
      <x:c r="C2" s="10" t="n">
        <x:v>1.8</x:v>
      </x:c>
      <x:c r="D2" s="10" t="n">
        <x:v>0.36000000000000004</x:v>
      </x:c>
      <x:c r="E2" s="10" t="n">
        <x:v>0.18000000000000002</x:v>
      </x:c>
      <x:c r="F2" s="10" t="n">
        <x:v>1.08</x:v>
      </x:c>
      <x:c r="G2" s="35" t="n">
        <x:v>0.8</x:v>
      </x:c>
      <x:c r="H2" s="10" t="n">
        <x:f>F2*G2</x:f>
        <x:v>0.8640000000000001</x:v>
      </x:c>
      <x:c r="I2" t="str">
        <x:v>Exclui perecíveis, avarias e itens &gt;180 dias</x:v>
      </x:c>
    </x:row>
    <x:row r="3">
      <x:c r="A3" t="str">
        <x:v>LJ02</x:v>
      </x:c>
      <x:c r="B3" t="str">
        <x:v>Loja 02</x:v>
      </x:c>
      <x:c r="C3" s="10" t="n">
        <x:v>2</x:v>
      </x:c>
      <x:c r="D3" s="10" t="n">
        <x:v>0.4</x:v>
      </x:c>
      <x:c r="E3" s="10" t="n">
        <x:v>0.2</x:v>
      </x:c>
      <x:c r="F3" s="10" t="n">
        <x:v>1.26</x:v>
      </x:c>
      <x:c r="G3" s="35" t="n">
        <x:v>0.8</x:v>
      </x:c>
      <x:c r="H3" s="10" t="n">
        <x:f>F3*G3</x:f>
        <x:v>1.008</x:v>
      </x:c>
      <x:c r="I3" t="str">
        <x:v>Exclui perecíveis, avarias e itens &gt;180 dias</x:v>
      </x:c>
    </x:row>
    <x:row r="4">
      <x:c r="A4" t="str">
        <x:v>LJ03</x:v>
      </x:c>
      <x:c r="B4" t="str">
        <x:v>Loja 03</x:v>
      </x:c>
      <x:c r="C4" s="10" t="n">
        <x:v>1.7</x:v>
      </x:c>
      <x:c r="D4" s="10" t="n">
        <x:v>0.34</x:v>
      </x:c>
      <x:c r="E4" s="10" t="n">
        <x:v>0.17</x:v>
      </x:c>
      <x:c r="F4" s="10" t="n">
        <x:v>1.1219999999999999</x:v>
      </x:c>
      <x:c r="G4" s="35" t="n">
        <x:v>0.8</x:v>
      </x:c>
      <x:c r="H4" s="10" t="n">
        <x:f>F4*G4</x:f>
        <x:v>0.8976</x:v>
      </x:c>
      <x:c r="I4" t="str">
        <x:v>Exclui perecíveis, avarias e itens &gt;180 dias</x:v>
      </x:c>
    </x:row>
    <x:row r="5">
      <x:c r="A5" t="str">
        <x:v>LJ04</x:v>
      </x:c>
      <x:c r="B5" t="str">
        <x:v>Loja 04</x:v>
      </x:c>
      <x:c r="C5" s="10" t="n">
        <x:v>1.9</x:v>
      </x:c>
      <x:c r="D5" s="10" t="n">
        <x:v>0.38</x:v>
      </x:c>
      <x:c r="E5" s="10" t="n">
        <x:v>0.19</x:v>
      </x:c>
      <x:c r="F5" s="10" t="n">
        <x:v>1.311</x:v>
      </x:c>
      <x:c r="G5" s="35" t="n">
        <x:v>0.8</x:v>
      </x:c>
      <x:c r="H5" s="10" t="n">
        <x:f>F5*G5</x:f>
        <x:v>1.0488</x:v>
      </x:c>
      <x:c r="I5" t="str">
        <x:v>Exclui perecíveis, avarias e itens &gt;180 dias</x:v>
      </x:c>
    </x:row>
    <x:row r="6">
      <x:c r="A6" t="str">
        <x:v>LJ05</x:v>
      </x:c>
      <x:c r="B6" t="str">
        <x:v>Loja 05</x:v>
      </x:c>
      <x:c r="C6" s="10" t="n">
        <x:v>2.1</x:v>
      </x:c>
      <x:c r="D6" s="10" t="n">
        <x:v>0.42000000000000004</x:v>
      </x:c>
      <x:c r="E6" s="10" t="n">
        <x:v>0.21000000000000002</x:v>
      </x:c>
      <x:c r="F6" s="10" t="n">
        <x:v>1.26</x:v>
      </x:c>
      <x:c r="G6" s="35" t="n">
        <x:v>0.8</x:v>
      </x:c>
      <x:c r="H6" s="10" t="n">
        <x:f>F6*G6</x:f>
        <x:v>1.008</x:v>
      </x:c>
      <x:c r="I6" t="str">
        <x:v>Exclui perecíveis, avarias e itens &gt;180 dias</x:v>
      </x:c>
    </x:row>
    <x:row r="7">
      <x:c r="A7" t="str">
        <x:v>LJ06</x:v>
      </x:c>
      <x:c r="B7" t="str">
        <x:v>Loja 06</x:v>
      </x:c>
      <x:c r="C7" s="10" t="n">
        <x:v>1.8</x:v>
      </x:c>
      <x:c r="D7" s="10" t="n">
        <x:v>0.36000000000000004</x:v>
      </x:c>
      <x:c r="E7" s="10" t="n">
        <x:v>0.18000000000000002</x:v>
      </x:c>
      <x:c r="F7" s="10" t="n">
        <x:v>1.1340000000000001</x:v>
      </x:c>
      <x:c r="G7" s="35" t="n">
        <x:v>0.8</x:v>
      </x:c>
      <x:c r="H7" s="10" t="n">
        <x:f>F7*G7</x:f>
        <x:v>0.9072000000000001</x:v>
      </x:c>
      <x:c r="I7" t="str">
        <x:v>Exclui perecíveis, avarias e itens &gt;180 dias</x:v>
      </x:c>
    </x:row>
    <x:row r="8">
      <x:c r="A8" t="str">
        <x:v>LJ07</x:v>
      </x:c>
      <x:c r="B8" t="str">
        <x:v>Loja 07</x:v>
      </x:c>
      <x:c r="C8" s="10" t="n">
        <x:v>1.9</x:v>
      </x:c>
      <x:c r="D8" s="10" t="n">
        <x:v>0.38</x:v>
      </x:c>
      <x:c r="E8" s="10" t="n">
        <x:v>0.19</x:v>
      </x:c>
      <x:c r="F8" s="10" t="n">
        <x:v>1.2539999999999998</x:v>
      </x:c>
      <x:c r="G8" s="35" t="n">
        <x:v>0.8</x:v>
      </x:c>
      <x:c r="H8" s="10" t="n">
        <x:f>F8*G8</x:f>
        <x:v>1.0031999999999999</x:v>
      </x:c>
      <x:c r="I8" t="str">
        <x:v>Exclui perecíveis, avarias e itens &gt;180 dias</x:v>
      </x:c>
    </x:row>
    <x:row r="9">
      <x:c r="A9" t="str">
        <x:v>LJ08</x:v>
      </x:c>
      <x:c r="B9" t="str">
        <x:v>Loja 08</x:v>
      </x:c>
      <x:c r="C9" s="10" t="n">
        <x:v>1.7</x:v>
      </x:c>
      <x:c r="D9" s="10" t="n">
        <x:v>0.34</x:v>
      </x:c>
      <x:c r="E9" s="10" t="n">
        <x:v>0.17</x:v>
      </x:c>
      <x:c r="F9" s="10" t="n">
        <x:v>1.1729999999999998</x:v>
      </x:c>
      <x:c r="G9" s="35" t="n">
        <x:v>0.8</x:v>
      </x:c>
      <x:c r="H9" s="10" t="n">
        <x:f>F9*G9</x:f>
        <x:v>0.9383999999999999</x:v>
      </x:c>
      <x:c r="I9" t="str">
        <x:v>Exclui perecíveis, avarias e itens &gt;180 dias</x:v>
      </x:c>
    </x:row>
    <x:row r="10">
      <x:c r="A10" t="str">
        <x:v>LJ09</x:v>
      </x:c>
      <x:c r="B10" t="str">
        <x:v>Loja 09</x:v>
      </x:c>
      <x:c r="C10" s="10" t="n">
        <x:v>2.2</x:v>
      </x:c>
      <x:c r="D10" s="10" t="n">
        <x:v>0.44000000000000006</x:v>
      </x:c>
      <x:c r="E10" s="10" t="n">
        <x:v>0.22000000000000003</x:v>
      </x:c>
      <x:c r="F10" s="10" t="n">
        <x:v>1.32</x:v>
      </x:c>
      <x:c r="G10" s="35" t="n">
        <x:v>0.8</x:v>
      </x:c>
      <x:c r="H10" s="10" t="n">
        <x:f>F10*G10</x:f>
        <x:v>1.056</x:v>
      </x:c>
      <x:c r="I10" t="str">
        <x:v>Exclui perecíveis, avarias e itens &gt;180 dias</x:v>
      </x:c>
    </x:row>
    <x:row r="11">
      <x:c r="A11" t="str">
        <x:v>LJ10</x:v>
      </x:c>
      <x:c r="B11" t="str">
        <x:v>Loja 10</x:v>
      </x:c>
      <x:c r="C11" s="10" t="n">
        <x:v>2.1</x:v>
      </x:c>
      <x:c r="D11" s="10" t="n">
        <x:v>0.42000000000000004</x:v>
      </x:c>
      <x:c r="E11" s="10" t="n">
        <x:v>0.21000000000000002</x:v>
      </x:c>
      <x:c r="F11" s="10" t="n">
        <x:v>1.3230000000000002</x:v>
      </x:c>
      <x:c r="G11" s="35" t="n">
        <x:v>0.8</x:v>
      </x:c>
      <x:c r="H11" s="10" t="n">
        <x:f>F11*G11</x:f>
        <x:v>1.0584000000000002</x:v>
      </x:c>
      <x:c r="I11" t="str">
        <x:v>Exclui perecíveis, avarias e itens &gt;180 dias</x:v>
      </x:c>
    </x:row>
    <x:row r="12">
      <x:c r="A12" t="str">
        <x:v>LJ11</x:v>
      </x:c>
      <x:c r="B12" t="str">
        <x:v>Loja 11</x:v>
      </x:c>
      <x:c r="C12" s="10" t="n">
        <x:v>2.2</x:v>
      </x:c>
      <x:c r="D12" s="10" t="n">
        <x:v>0.44000000000000006</x:v>
      </x:c>
      <x:c r="E12" s="10" t="n">
        <x:v>0.22000000000000003</x:v>
      </x:c>
      <x:c r="F12" s="10" t="n">
        <x:v>1.452</x:v>
      </x:c>
      <x:c r="G12" s="35" t="n">
        <x:v>0.8</x:v>
      </x:c>
      <x:c r="H12" s="10" t="n">
        <x:f>F12*G12</x:f>
        <x:v>1.1616</x:v>
      </x:c>
      <x:c r="I12" t="str">
        <x:v>Exclui perecíveis, avarias e itens &gt;180 dias</x:v>
      </x:c>
    </x:row>
    <x:row r="13">
      <x:c r="A13" t="str">
        <x:v>LJ12</x:v>
      </x:c>
      <x:c r="B13" t="str">
        <x:v>Loja 12</x:v>
      </x:c>
      <x:c r="C13" s="10" t="n">
        <x:v>2</x:v>
      </x:c>
      <x:c r="D13" s="10" t="n">
        <x:v>0.4</x:v>
      </x:c>
      <x:c r="E13" s="10" t="n">
        <x:v>0.2</x:v>
      </x:c>
      <x:c r="F13" s="10" t="n">
        <x:v>1.38</x:v>
      </x:c>
      <x:c r="G13" s="35" t="n">
        <x:v>0.8</x:v>
      </x:c>
      <x:c r="H13" s="10" t="n">
        <x:f>F13*G13</x:f>
        <x:v>1.1039999999999999</x:v>
      </x:c>
      <x:c r="I13" t="str">
        <x:v>Exclui perecíveis, avarias e itens &gt;180 dias</x:v>
      </x:c>
    </x:row>
    <x:row r="14">
      <x:c r="A14" t="str">
        <x:v>CD01</x:v>
      </x:c>
      <x:c r="B14" t="str">
        <x:v>Centro de Distribuição</x:v>
      </x:c>
      <x:c r="C14" s="10" t="n">
        <x:v>6.3</x:v>
      </x:c>
      <x:c r="D14" s="10" t="n">
        <x:v>1.26</x:v>
      </x:c>
      <x:c r="E14" s="10" t="n">
        <x:v>0.63</x:v>
      </x:c>
      <x:c r="F14" s="10" t="n">
        <x:v>4.536</x:v>
      </x:c>
      <x:c r="G14" s="35" t="n">
        <x:v>0.8</x:v>
      </x:c>
      <x:c r="H14" s="10" t="n">
        <x:f>F14*G14</x:f>
        <x:v>3.6288</x:v>
      </x:c>
      <x:c r="I14" t="str">
        <x:v>Exclui perecíveis, avarias e itens &gt;180 dias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36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34" hidden="0" customWidth="1"/>
  </x:cols>
  <x:sheetData>
    <x:row r="1">
      <x:c r="A1" s="34" t="str">
        <x:v>ID</x:v>
      </x:c>
      <x:c r="B1" s="34" t="str">
        <x:v>ATIVO</x:v>
      </x:c>
      <x:c r="C1" s="34" t="str">
        <x:v>CLASSE</x:v>
      </x:c>
      <x:c r="D1" s="34" t="str">
        <x:v>VALOR_CONTABIL_MM</x:v>
      </x:c>
      <x:c r="E1" s="34" t="str">
        <x:v>VALOR_ELEGIVEL_MM</x:v>
      </x:c>
      <x:c r="F1" s="34" t="str">
        <x:v>ADVANCE_RATE</x:v>
      </x:c>
      <x:c r="G1" s="34" t="str">
        <x:v>CAPACIDADE_MM</x:v>
      </x:c>
      <x:c r="H1" s="34" t="str">
        <x:v>GRAVAME</x:v>
      </x:c>
      <x:c r="I1" s="34" t="str">
        <x:v>OBS</x:v>
      </x:c>
    </x:row>
    <x:row r="2">
      <x:c r="A2" t="str">
        <x:v>AT-001</x:v>
      </x:c>
      <x:c r="B2" t="str">
        <x:v>Centro de Distribuição Ribeirão Preto</x:v>
      </x:c>
      <x:c r="C2" t="str">
        <x:v>Imóvel</x:v>
      </x:c>
      <x:c r="D2" s="10" t="n">
        <x:v>31</x:v>
      </x:c>
      <x:c r="E2" s="10" t="n">
        <x:v>18</x:v>
      </x:c>
      <x:c r="F2" s="35" t="n">
        <x:v>0.8</x:v>
      </x:c>
      <x:c r="G2" s="10" t="n">
        <x:f>E2*F2</x:f>
        <x:v>14.4</x:v>
      </x:c>
      <x:c r="H2" t="str">
        <x:v>Hipoteca Banco Interior</x:v>
      </x:c>
      <x:c r="I2" t="str">
        <x:v>Laudo de 2024; atualizar</x:v>
      </x:c>
    </x:row>
    <x:row r="3">
      <x:c r="A3" t="str">
        <x:v>AT-002</x:v>
      </x:c>
      <x:c r="B3" t="str">
        <x:v>Refrigeração e câmaras frias</x:v>
      </x:c>
      <x:c r="C3" t="str">
        <x:v>Equipamentos</x:v>
      </x:c>
      <x:c r="D3" s="10" t="n">
        <x:v>15.5</x:v>
      </x:c>
      <x:c r="E3" s="10" t="n">
        <x:v>5</x:v>
      </x:c>
      <x:c r="F3" s="35" t="n">
        <x:v>0.8</x:v>
      </x:c>
      <x:c r="G3" s="10" t="n">
        <x:f>E3*F3</x:f>
        <x:v>4</x:v>
      </x:c>
      <x:c r="H3" t="str">
        <x:v>Alienação Banco Sul</x:v>
      </x:c>
      <x:c r="I3" t="str">
        <x:v>Liberação parcial sujeita a payoff</x:v>
      </x:c>
    </x:row>
    <x:row r="4">
      <x:c r="A4" t="str">
        <x:v>AT-003</x:v>
      </x:c>
      <x:c r="B4" t="str">
        <x:v>Empilhadeiras e automação</x:v>
      </x:c>
      <x:c r="C4" t="str">
        <x:v>Equipamentos</x:v>
      </x:c>
      <x:c r="D4" s="10" t="n">
        <x:v>7.2</x:v>
      </x:c>
      <x:c r="E4" s="10" t="n">
        <x:v>2</x:v>
      </x:c>
      <x:c r="F4" s="35" t="n">
        <x:v>0.8</x:v>
      </x:c>
      <x:c r="G4" s="10" t="n">
        <x:f>E4*F4</x:f>
        <x:v>1.6</x:v>
      </x:c>
      <x:c r="H4" t="str">
        <x:v>Alienação Banco Sul</x:v>
      </x:c>
      <x:c r="I4" t="str">
        <x:v>Laudo interno</x:v>
      </x:c>
    </x:row>
    <x:row r="5">
      <x:c r="A5" t="str">
        <x:v>AT-004</x:v>
      </x:c>
      <x:c r="B5" t="str">
        <x:v>Equipamentos livres nas lojas</x:v>
      </x:c>
      <x:c r="C5" t="str">
        <x:v>Equipamentos</x:v>
      </x:c>
      <x:c r="D5" s="10" t="n">
        <x:v>10.4</x:v>
      </x:c>
      <x:c r="E5" s="10" t="n">
        <x:v>2</x:v>
      </x:c>
      <x:c r="F5" s="35" t="n">
        <x:v>0.8</x:v>
      </x:c>
      <x:c r="G5" s="10" t="n">
        <x:f>E5*F5</x:f>
        <x:v>1.6</x:v>
      </x:c>
      <x:c r="H5" t="str">
        <x:v>Livre</x:v>
      </x:c>
      <x:c r="I5" t="str">
        <x:v>Inventário físico em andamento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28" hidden="0" customWidth="1"/>
  </x:cols>
  <x:sheetData>
    <x:row r="1" ht="30" customHeight="1">
      <x:c r="A1" s="51" t="str">
        <x:v>CHECKS DE TESOURARIA</x:v>
      </x:c>
      <x:c r="B1" s="51" t="str">
        <x:v>CHECKS DE TESOURARIA</x:v>
      </x:c>
      <x:c r="C1" s="51" t="str">
        <x:v>CHECKS DE TESOURARIA</x:v>
      </x:c>
      <x:c r="D1" s="51" t="str">
        <x:v>CHECKS DE TESOURARIA</x:v>
      </x:c>
      <x:c r="E1" s="51" t="str">
        <x:v>CHECKS DE TESOURARIA</x:v>
      </x:c>
      <x:c r="F1" s="51" t="str">
        <x:v>CHECKS DE TESOURARIA</x:v>
      </x:c>
      <x:c r="G1" s="51" t="str">
        <x:v>CHECKS DE TESOURARIA</x:v>
      </x:c>
    </x:row>
    <x:row r="2" ht="28" customHeight="1">
      <x:c r="A2" s="7" t="str">
        <x:v>Controles de reconciliação do arquivo</x:v>
      </x:c>
      <x:c r="B2" s="7" t="str">
        <x:v>Controles de reconciliação do arquivo</x:v>
      </x:c>
      <x:c r="C2" s="7" t="str">
        <x:v>Controles de reconciliação do arquivo</x:v>
      </x:c>
      <x:c r="D2" s="7" t="str">
        <x:v>Controles de reconciliação do arquivo</x:v>
      </x:c>
      <x:c r="E2" s="7" t="str">
        <x:v>Controles de reconciliação do arquivo</x:v>
      </x:c>
      <x:c r="F2" s="7" t="str">
        <x:v>Controles de reconciliação do arquivo</x:v>
      </x:c>
      <x:c r="G2" s="7" t="str">
        <x:v>Controles de reconciliação do arquivo</x:v>
      </x:c>
    </x:row>
    <x:row r="5">
      <x:c r="A5" s="56" t="str">
        <x:v>Check</x:v>
      </x:c>
      <x:c r="B5" s="56" t="str">
        <x:v>Atual</x:v>
      </x:c>
      <x:c r="C5" s="56" t="str">
        <x:v>Esperado</x:v>
      </x:c>
      <x:c r="D5" s="56" t="str">
        <x:v>Diferença</x:v>
      </x:c>
      <x:c r="E5" s="56" t="str">
        <x:v>Tolerância</x:v>
      </x:c>
      <x:c r="F5" s="56" t="str">
        <x:v>Status</x:v>
      </x:c>
      <x:c r="G5" s="56" t="str">
        <x:v>Onde revisar</x:v>
      </x:c>
    </x:row>
    <x:row r="6">
      <x:c r="A6" t="str">
        <x:v>Dívida bruta</x:v>
      </x:c>
      <x:c r="B6" s="10" t="n">
        <x:f>SUM('CONTRATOS_DIVIDA'!$H$2:$H$7)</x:f>
        <x:v>68</x:v>
      </x:c>
      <x:c r="C6" s="10" t="n">
        <x:v>68</x:v>
      </x:c>
      <x:c r="D6" s="10" t="n">
        <x:f>B6-C6</x:f>
        <x:v>0</x:v>
      </x:c>
      <x:c r="E6" s="10" t="n">
        <x:v>0.01</x:v>
      </x:c>
      <x:c r="F6" t="str">
        <x:f>IF(ABS(D6)&lt;=E6,"OK","REVISAR")</x:f>
        <x:v>OK</x:v>
      </x:c>
      <x:c r="G6" t="str">
        <x:v>CONTRATOS_DIVIDA</x:v>
      </x:c>
    </x:row>
    <x:row r="7">
      <x:c r="A7" t="str">
        <x:v>Recebíveis brutos</x:v>
      </x:c>
      <x:c r="B7" s="10" t="n">
        <x:f>SUM('RECEBIVEIS_CARTAO'!$E$2:$E$25)</x:f>
        <x:v>21.400000000000006</x:v>
      </x:c>
      <x:c r="C7" s="10" t="n">
        <x:v>21.4</x:v>
      </x:c>
      <x:c r="D7" s="10" t="n">
        <x:f>B7-C7</x:f>
        <x:v>7.105427357601002e-15</x:v>
      </x:c>
      <x:c r="E7" s="10" t="n">
        <x:v>0.01</x:v>
      </x:c>
      <x:c r="F7" t="str">
        <x:f>IF(ABS(D7)&lt;=E7,"OK","REVISAR")</x:f>
        <x:v>OK</x:v>
      </x:c>
      <x:c r="G7" t="str">
        <x:v>RECEBIVEIS_CARTAO</x:v>
      </x:c>
    </x:row>
    <x:row r="8">
      <x:c r="A8" t="str">
        <x:v>Estoque bruto</x:v>
      </x:c>
      <x:c r="B8" s="10" t="n">
        <x:f>SUM('ESTOQUES'!$C$2:$C$14)</x:f>
        <x:v>29.700000000000003</x:v>
      </x:c>
      <x:c r="C8" s="10" t="n">
        <x:v>29.7</x:v>
      </x:c>
      <x:c r="D8" s="10" t="n">
        <x:f>B8-C8</x:f>
        <x:v>3.552713678800501e-15</x:v>
      </x:c>
      <x:c r="E8" s="10" t="n">
        <x:v>0.01</x:v>
      </x:c>
      <x:c r="F8" t="str">
        <x:f>IF(ABS(D8)&lt;=E8,"OK","REVISAR")</x:f>
        <x:v>OK</x:v>
      </x:c>
      <x:c r="G8" t="str">
        <x:v>ESTOQUES</x:v>
      </x:c>
    </x:row>
    <x:row r="9">
      <x:c r="A9" t="str">
        <x:v>Capacidade do borrowing base</x:v>
      </x:c>
      <x:c r="B9" s="10" t="n">
        <x:f>SUM('RESUMO_TESOURARIA'!$E$14:$E$16)</x:f>
        <x:v>53.760000000000005</x:v>
      </x:c>
      <x:c r="C9" s="10" t="n">
        <x:v>53.76</x:v>
      </x:c>
      <x:c r="D9" s="10" t="n">
        <x:f>B9-C9</x:f>
        <x:v>7.105427357601002e-15</x:v>
      </x:c>
      <x:c r="E9" s="10" t="n">
        <x:v>0.05</x:v>
      </x:c>
      <x:c r="F9" t="str">
        <x:f>IF(ABS(D9)&lt;=E9,"OK","REVISAR")</x:f>
        <x:v>OK</x:v>
      </x:c>
      <x:c r="G9" t="str">
        <x:v>RESUMO_TESOURARIA</x:v>
      </x:c>
    </x:row>
  </x:sheetData>
  <x:mergeCells>
    <x:mergeCell ref="A1:G1"/>
    <x:mergeCell ref="A2:G2"/>
  </x:mergeCells>
  <x:conditionalFormatting sqref="F6:F9">
    <x:cfRule type="containsText" dxfId="0" priority="1" operator="containsText" text="OK"/>
    <x:cfRule type="containsText" dxfId="1" priority="2" operator="containsText" text="REVISAR"/>
  </x:conditionalFormatting>
  <x:pageMargins left="0.7" right="0.7" top="0.75" bottom="0.75" header="0.3" footer="0.3"/>
</x:worksheet>
</file>