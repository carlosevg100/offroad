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62ad71fdb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74a95ac9926546c4"/>
    <x:sheet xmlns:r="http://schemas.openxmlformats.org/officeDocument/2006/relationships" name="DRE_MENSAL_LONG" sheetId="2" r:id="Rd7927828f0284cbe"/>
    <x:sheet xmlns:r="http://schemas.openxmlformats.org/officeDocument/2006/relationships" name="BALANCETE_LONG" sheetId="3" r:id="R7833f3b822e64680"/>
    <x:sheet xmlns:r="http://schemas.openxmlformats.org/officeDocument/2006/relationships" name="PLANO_CONTAS" sheetId="4" r:id="R6683bb891c724465"/>
    <x:sheet xmlns:r="http://schemas.openxmlformats.org/officeDocument/2006/relationships" name="CADASTRO_LOJAS" sheetId="5" r:id="R174af8cc93564815"/>
    <x:sheet xmlns:r="http://schemas.openxmlformats.org/officeDocument/2006/relationships" name="CONTROLE_BALANCETE" sheetId="6" r:id="Rfee6b862700f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mmm/yyyy"/>
    <x:numFmt numFmtId="202" formatCode="#,##0.0;[Red](#,##0.0);-"/>
    <x:numFmt numFmtId="203" formatCode="#,##0;[Red](#,##0);-"/>
  </x:numFmts>
  <x:fonts count="5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8736E"/>
      <x:name val="Carlito"/>
    </x:font>
    <x:font>
      <x:b/>
      <x:sz val="11"/>
      <x:color rgb="FF1F4E7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6F3EA"/>
      </x:patternFill>
    </x:fill>
  </x:fills>
  <x:borders count="5">
    <x:border/>
    <x:border>
      <x:bottom style="thin">
        <x:color rgb="FFC9D2CE"/>
      </x:bottom>
    </x:border>
    <x:border>
      <x:top style="thin">
        <x:color rgb="FFC9D2CE"/>
      </x:top>
      <x:bottom style="thin">
        <x:color rgb="FFC9D2CE"/>
      </x:bottom>
    </x:border>
    <x:border>
      <x:top style="thin">
        <x:color rgb="FFC9D2CE"/>
      </x:top>
    </x:border>
    <x:border>
      <x:bottom style="thin">
        <x:color rgb="FF17463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2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2c0690cb6449e" /><Relationship Type="http://schemas.openxmlformats.org/officeDocument/2006/relationships/theme" Target="/xl/theme/theme1.xml" Id="R710d3695404c4765" /><Relationship Type="http://schemas.openxmlformats.org/officeDocument/2006/relationships/sharedStrings" Target="/xl/sharedStrings.xml" Id="R42919c3e6f364119" /><Relationship Type="http://schemas.openxmlformats.org/officeDocument/2006/relationships/worksheet" Target="/xl/worksheets/sheet1.xml" Id="R74a95ac9926546c4" /><Relationship Type="http://schemas.openxmlformats.org/officeDocument/2006/relationships/worksheet" Target="/xl/worksheets/sheet2.xml" Id="Rd7927828f0284cbe" /><Relationship Type="http://schemas.openxmlformats.org/officeDocument/2006/relationships/worksheet" Target="/xl/worksheets/sheet3.xml" Id="R7833f3b822e64680" /><Relationship Type="http://schemas.openxmlformats.org/officeDocument/2006/relationships/worksheet" Target="/xl/worksheets/sheet4.xml" Id="R6683bb891c724465" /><Relationship Type="http://schemas.openxmlformats.org/officeDocument/2006/relationships/worksheet" Target="/xl/worksheets/sheet5.xml" Id="R174af8cc93564815" /><Relationship Type="http://schemas.openxmlformats.org/officeDocument/2006/relationships/worksheet" Target="/xl/worksheets/sheet6.xml" Id="Rfee6b862700f4f91" /><Relationship Type="http://schemas.microsoft.com/office/2017/10/relationships/person" Target="/xl/persons/person.xml" Id="R37fb36bab2e8401b" /></Relationships>
</file>

<file path=xl/persons/person.xml><?xml version="1.0" encoding="utf-8"?>
<xltc:personList xmlns:xltc="http://schemas.microsoft.com/office/spreadsheetml/2018/threadedcomments">
  <xltc:person displayName="User" id="{1F77AF13-7DB2-4095-8342-0A7E118CA18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3" t="str">
        <x:v>EXPORTAÇÃO CONTÁBIL E GERENCIAL</x:v>
      </x:c>
      <x:c r="B1" s="3" t="str">
        <x:v>EXPORTAÇÃO CONTÁBIL E GERENCIAL</x:v>
      </x:c>
      <x:c r="C1" s="3" t="str">
        <x:v>EXPORTAÇÃO CONTÁBIL E GERENCIAL</x:v>
      </x:c>
      <x:c r="D1" s="3" t="str">
        <x:v>EXPORTAÇÃO CONTÁBIL E GERENCIAL</x:v>
      </x:c>
      <x:c r="E1" s="3" t="str">
        <x:v>EXPORTAÇÃO CONTÁBIL E GERENCIAL</x:v>
      </x:c>
      <x:c r="F1" s="3" t="str">
        <x:v>EXPORTAÇÃO CONTÁBIL E GERENCIAL</x:v>
      </x:c>
      <x:c r="G1" s="3" t="str">
        <x:v>EXPORTAÇÃO CONTÁBIL E GERENCIAL</x:v>
      </x:c>
      <x:c r="H1" s="3" t="str">
        <x:v>EXPORTAÇÃO CONTÁBIL E GERENCIAL</x:v>
      </x:c>
    </x:row>
    <x:row r="2" ht="28" customHeight="1">
      <x:c r="A2" s="7" t="str">
        <x:v>Arquivo extraído de dois módulos internos; valores em R$ milhões. Caso sintético para teste.</x:v>
      </x:c>
      <x:c r="B2" s="7" t="str">
        <x:v>Arquivo extraído de dois módulos internos; valores em R$ milhões. Caso sintético para teste.</x:v>
      </x:c>
      <x:c r="C2" s="7" t="str">
        <x:v>Arquivo extraído de dois módulos internos; valores em R$ milhões. Caso sintético para teste.</x:v>
      </x:c>
      <x:c r="D2" s="7" t="str">
        <x:v>Arquivo extraído de dois módulos internos; valores em R$ milhões. Caso sintético para teste.</x:v>
      </x:c>
      <x:c r="E2" s="7" t="str">
        <x:v>Arquivo extraído de dois módulos internos; valores em R$ milhões. Caso sintético para teste.</x:v>
      </x:c>
      <x:c r="F2" s="7" t="str">
        <x:v>Arquivo extraído de dois módulos internos; valores em R$ milhões. Caso sintético para teste.</x:v>
      </x:c>
      <x:c r="G2" s="7" t="str">
        <x:v>Arquivo extraído de dois módulos internos; valores em R$ milhões. Caso sintético para teste.</x:v>
      </x:c>
      <x:c r="H2" s="7" t="str">
        <x:v>Arquivo extraído de dois módulos internos; valores em R$ milhões. Caso sintético para teste.</x:v>
      </x:c>
    </x:row>
    <x:row r="5">
      <x:c r="A5" s="10" t="str">
        <x:v>Empresa</x:v>
      </x:c>
      <x:c r="B5" s="17" t="str">
        <x:v>Rede Horizonte Alimentos S.A.</x:v>
      </x:c>
    </x:row>
    <x:row r="6">
      <x:c r="A6" s="12" t="str">
        <x:v>Sistema</x:v>
      </x:c>
      <x:c r="B6" s="18" t="str">
        <x:v>Órbita ERP / Contábil Prisma</x:v>
      </x:c>
    </x:row>
    <x:row r="7">
      <x:c r="A7" s="12" t="str">
        <x:v>Período DRE</x:v>
      </x:c>
      <x:c r="B7" s="18" t="str">
        <x:v>jan/2024 a jul/2026</x:v>
      </x:c>
    </x:row>
    <x:row r="8">
      <x:c r="A8" s="12" t="str">
        <x:v>Período balancete</x:v>
      </x:c>
      <x:c r="B8" s="18" t="str">
        <x:v>jan/2025 a jul/2026</x:v>
      </x:c>
    </x:row>
    <x:row r="9">
      <x:c r="A9" s="12" t="str">
        <x:v>Extraído em</x:v>
      </x:c>
      <x:c r="B9" s="19" t="n">
        <x:v>46246</x:v>
      </x:c>
    </x:row>
    <x:row r="10">
      <x:c r="A10" s="12" t="str">
        <x:v>Responsável</x:v>
      </x:c>
      <x:c r="B10" s="18" t="str">
        <x:v>Controladoria</x:v>
      </x:c>
    </x:row>
    <x:row r="11">
      <x:c r="A11" s="15" t="str">
        <x:v>Observação</x:v>
      </x:c>
      <x:c r="B11" s="20" t="str">
        <x:v>DRE em visão gerencial consolidada; balancete em visão contábil de fechamento. Jul/2026 não auditado.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3" hidden="0" customWidth="1"/>
    <x:col min="3" max="3" width="38" hidden="0" customWidth="1"/>
    <x:col min="4" max="4" width="18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</x:cols>
  <x:sheetData>
    <x:row r="1">
      <x:c r="A1" s="24" t="str">
        <x:v>COMPETENCIA</x:v>
      </x:c>
      <x:c r="B1" s="24" t="str">
        <x:v>CONTA</x:v>
      </x:c>
      <x:c r="C1" s="24" t="str">
        <x:v>DESCRICAO</x:v>
      </x:c>
      <x:c r="D1" s="24" t="str">
        <x:v>CENTRO_CUSTO</x:v>
      </x:c>
      <x:c r="E1" s="24" t="str">
        <x:v>MOEDA</x:v>
      </x:c>
      <x:c r="F1" s="24" t="str">
        <x:v>VALOR_MM</x:v>
      </x:c>
      <x:c r="G1" s="24" t="str">
        <x:v>STATUS</x:v>
      </x:c>
      <x:c r="H1" s="24" t="str">
        <x:v>ORIGEM</x:v>
      </x:c>
    </x:row>
    <x:row r="2">
      <x:c r="A2" s="25" t="n">
        <x:v>45292</x:v>
      </x:c>
      <x:c r="B2" t="str">
        <x:v>3.01.01</x:v>
      </x:c>
      <x:c r="C2" t="str">
        <x:v>Receita bruta de vendas</x:v>
      </x:c>
      <x:c r="D2" t="str">
        <x:v>CONSOLIDADO</x:v>
      </x:c>
      <x:c r="E2" t="str">
        <x:v>BRL</x:v>
      </x:c>
      <x:c r="F2" s="26" t="n">
        <x:v>12.926</x:v>
      </x:c>
      <x:c r="G2" t="str">
        <x:v>FECHADO</x:v>
      </x:c>
      <x:c r="H2" t="str">
        <x:v>ERP-ORBITA</x:v>
      </x:c>
    </x:row>
    <x:row r="3">
      <x:c r="A3" s="25" t="n">
        <x:v>45292</x:v>
      </x:c>
      <x:c r="B3" t="str">
        <x:v>3.01.02</x:v>
      </x:c>
      <x:c r="C3" t="str">
        <x:v>Deduções e impostos sobre vendas</x:v>
      </x:c>
      <x:c r="D3" t="str">
        <x:v>CONSOLIDADO</x:v>
      </x:c>
      <x:c r="E3" t="str">
        <x:v>BRL</x:v>
      </x:c>
      <x:c r="F3" s="26" t="n">
        <x:v>-0.517</x:v>
      </x:c>
      <x:c r="G3" t="str">
        <x:v>FECHADO</x:v>
      </x:c>
      <x:c r="H3" t="str">
        <x:v>ERP-ORBITA</x:v>
      </x:c>
    </x:row>
    <x:row r="4">
      <x:c r="A4" s="25" t="n">
        <x:v>45292</x:v>
      </x:c>
      <x:c r="B4" t="str">
        <x:v>3.01.03</x:v>
      </x:c>
      <x:c r="C4" t="str">
        <x:v>Receita líquida</x:v>
      </x:c>
      <x:c r="D4" t="str">
        <x:v>CONSOLIDADO</x:v>
      </x:c>
      <x:c r="E4" t="str">
        <x:v>BRL</x:v>
      </x:c>
      <x:c r="F4" s="26" t="n">
        <x:v>12.409</x:v>
      </x:c>
      <x:c r="G4" t="str">
        <x:v>FECHADO</x:v>
      </x:c>
      <x:c r="H4" t="str">
        <x:v>ERP-ORBITA</x:v>
      </x:c>
    </x:row>
    <x:row r="5">
      <x:c r="A5" s="25" t="n">
        <x:v>45292</x:v>
      </x:c>
      <x:c r="B5" t="str">
        <x:v>4.01.01</x:v>
      </x:c>
      <x:c r="C5" t="str">
        <x:v>Custo das mercadorias vendidas</x:v>
      </x:c>
      <x:c r="D5" t="str">
        <x:v>CONSOLIDADO</x:v>
      </x:c>
      <x:c r="E5" t="str">
        <x:v>BRL</x:v>
      </x:c>
      <x:c r="F5" s="26" t="n">
        <x:v>-8.426</x:v>
      </x:c>
      <x:c r="G5" t="str">
        <x:v>FECHADO</x:v>
      </x:c>
      <x:c r="H5" t="str">
        <x:v>ERP-ORBITA</x:v>
      </x:c>
    </x:row>
    <x:row r="6">
      <x:c r="A6" s="25" t="n">
        <x:v>45292</x:v>
      </x:c>
      <x:c r="B6" t="str">
        <x:v>3.02.01</x:v>
      </x:c>
      <x:c r="C6" t="str">
        <x:v>Lucro bruto</x:v>
      </x:c>
      <x:c r="D6" t="str">
        <x:v>CONSOLIDADO</x:v>
      </x:c>
      <x:c r="E6" t="str">
        <x:v>BRL</x:v>
      </x:c>
      <x:c r="F6" s="26" t="n">
        <x:v>3.983</x:v>
      </x:c>
      <x:c r="G6" t="str">
        <x:v>FECHADO</x:v>
      </x:c>
      <x:c r="H6" t="str">
        <x:v>ERP-ORBITA</x:v>
      </x:c>
    </x:row>
    <x:row r="7">
      <x:c r="A7" s="25" t="n">
        <x:v>45292</x:v>
      </x:c>
      <x:c r="B7" t="str">
        <x:v>4.02.01</x:v>
      </x:c>
      <x:c r="C7" t="str">
        <x:v>Pessoal</x:v>
      </x:c>
      <x:c r="D7" t="str">
        <x:v>CONSOLIDADO</x:v>
      </x:c>
      <x:c r="E7" t="str">
        <x:v>BRL</x:v>
      </x:c>
      <x:c r="F7" s="26" t="n">
        <x:v>-0.694</x:v>
      </x:c>
      <x:c r="G7" t="str">
        <x:v>FECHADO</x:v>
      </x:c>
      <x:c r="H7" t="str">
        <x:v>ERP-ORBITA</x:v>
      </x:c>
    </x:row>
    <x:row r="8">
      <x:c r="A8" s="25" t="n">
        <x:v>45292</x:v>
      </x:c>
      <x:c r="B8" t="str">
        <x:v>4.02.02</x:v>
      </x:c>
      <x:c r="C8" t="str">
        <x:v>Ocupação e utilidades</x:v>
      </x:c>
      <x:c r="D8" t="str">
        <x:v>CONSOLIDADO</x:v>
      </x:c>
      <x:c r="E8" t="str">
        <x:v>BRL</x:v>
      </x:c>
      <x:c r="F8" s="26" t="n">
        <x:v>-0.39</x:v>
      </x:c>
      <x:c r="G8" t="str">
        <x:v>FECHADO</x:v>
      </x:c>
      <x:c r="H8" t="str">
        <x:v>ERP-ORBITA</x:v>
      </x:c>
    </x:row>
    <x:row r="9">
      <x:c r="A9" s="25" t="n">
        <x:v>45292</x:v>
      </x:c>
      <x:c r="B9" t="str">
        <x:v>4.02.03</x:v>
      </x:c>
      <x:c r="C9" t="str">
        <x:v>Logística e tecnologia</x:v>
      </x:c>
      <x:c r="D9" t="str">
        <x:v>CONSOLIDADO</x:v>
      </x:c>
      <x:c r="E9" t="str">
        <x:v>BRL</x:v>
      </x:c>
      <x:c r="F9" s="26" t="n">
        <x:v>-0.39</x:v>
      </x:c>
      <x:c r="G9" t="str">
        <x:v>FECHADO</x:v>
      </x:c>
      <x:c r="H9" t="str">
        <x:v>ERP-ORBITA</x:v>
      </x:c>
    </x:row>
    <x:row r="10">
      <x:c r="A10" s="25" t="n">
        <x:v>45292</x:v>
      </x:c>
      <x:c r="B10" t="str">
        <x:v>4.02.04</x:v>
      </x:c>
      <x:c r="C10" t="str">
        <x:v>Despesas comerciais e administrativas</x:v>
      </x:c>
      <x:c r="D10" t="str">
        <x:v>CONSOLIDADO</x:v>
      </x:c>
      <x:c r="E10" t="str">
        <x:v>BRL</x:v>
      </x:c>
      <x:c r="F10" s="26" t="n">
        <x:v>-0.694</x:v>
      </x:c>
      <x:c r="G10" t="str">
        <x:v>FECHADO</x:v>
      </x:c>
      <x:c r="H10" t="str">
        <x:v>ERP-ORBITA</x:v>
      </x:c>
    </x:row>
    <x:row r="11">
      <x:c r="A11" s="25" t="n">
        <x:v>45292</x:v>
      </x:c>
      <x:c r="B11" t="str">
        <x:v>3.03.01</x:v>
      </x:c>
      <x:c r="C11" t="str">
        <x:v>EBITDA</x:v>
      </x:c>
      <x:c r="D11" t="str">
        <x:v>CONSOLIDADO</x:v>
      </x:c>
      <x:c r="E11" t="str">
        <x:v>BRL</x:v>
      </x:c>
      <x:c r="F11" s="26" t="n">
        <x:v>1.814</x:v>
      </x:c>
      <x:c r="G11" t="str">
        <x:v>FECHADO</x:v>
      </x:c>
      <x:c r="H11" t="str">
        <x:v>ERP-ORBITA</x:v>
      </x:c>
    </x:row>
    <x:row r="12">
      <x:c r="A12" s="25" t="n">
        <x:v>45292</x:v>
      </x:c>
      <x:c r="B12" t="str">
        <x:v>4.03.01</x:v>
      </x:c>
      <x:c r="C12" t="str">
        <x:v>Depreciação e amortização</x:v>
      </x:c>
      <x:c r="D12" t="str">
        <x:v>CONSOLIDADO</x:v>
      </x:c>
      <x:c r="E12" t="str">
        <x:v>BRL</x:v>
      </x:c>
      <x:c r="F12" s="26" t="n">
        <x:v>-0.347</x:v>
      </x:c>
      <x:c r="G12" t="str">
        <x:v>FECHADO</x:v>
      </x:c>
      <x:c r="H12" t="str">
        <x:v>ERP-ORBITA</x:v>
      </x:c>
    </x:row>
    <x:row r="13">
      <x:c r="A13" s="25" t="n">
        <x:v>45292</x:v>
      </x:c>
      <x:c r="B13" t="str">
        <x:v>3.04.01</x:v>
      </x:c>
      <x:c r="C13" t="str">
        <x:v>EBIT</x:v>
      </x:c>
      <x:c r="D13" t="str">
        <x:v>CONSOLIDADO</x:v>
      </x:c>
      <x:c r="E13" t="str">
        <x:v>BRL</x:v>
      </x:c>
      <x:c r="F13" s="26" t="n">
        <x:v>1.467</x:v>
      </x:c>
      <x:c r="G13" t="str">
        <x:v>FECHADO</x:v>
      </x:c>
      <x:c r="H13" t="str">
        <x:v>ERP-ORBITA</x:v>
      </x:c>
    </x:row>
    <x:row r="14">
      <x:c r="A14" s="25" t="n">
        <x:v>45292</x:v>
      </x:c>
      <x:c r="B14" t="str">
        <x:v>4.04.01</x:v>
      </x:c>
      <x:c r="C14" t="str">
        <x:v>Resultado financeiro líquido</x:v>
      </x:c>
      <x:c r="D14" t="str">
        <x:v>CONSOLIDADO</x:v>
      </x:c>
      <x:c r="E14" t="str">
        <x:v>BRL</x:v>
      </x:c>
      <x:c r="F14" s="26" t="n">
        <x:v>-0.583</x:v>
      </x:c>
      <x:c r="G14" t="str">
        <x:v>FECHADO</x:v>
      </x:c>
      <x:c r="H14" t="str">
        <x:v>ERP-ORBITA</x:v>
      </x:c>
    </x:row>
    <x:row r="15">
      <x:c r="A15" s="25" t="n">
        <x:v>45292</x:v>
      </x:c>
      <x:c r="B15" t="str">
        <x:v>3.05.01</x:v>
      </x:c>
      <x:c r="C15" t="str">
        <x:v>Lucro antes de IR/CS</x:v>
      </x:c>
      <x:c r="D15" t="str">
        <x:v>CONSOLIDADO</x:v>
      </x:c>
      <x:c r="E15" t="str">
        <x:v>BRL</x:v>
      </x:c>
      <x:c r="F15" s="26" t="n">
        <x:v>0.883</x:v>
      </x:c>
      <x:c r="G15" t="str">
        <x:v>FECHADO</x:v>
      </x:c>
      <x:c r="H15" t="str">
        <x:v>ERP-ORBITA</x:v>
      </x:c>
    </x:row>
    <x:row r="16">
      <x:c r="A16" s="25" t="n">
        <x:v>45292</x:v>
      </x:c>
      <x:c r="B16" t="str">
        <x:v>4.05.01</x:v>
      </x:c>
      <x:c r="C16" t="str">
        <x:v>IRPJ e CSLL</x:v>
      </x:c>
      <x:c r="D16" t="str">
        <x:v>CONSOLIDADO</x:v>
      </x:c>
      <x:c r="E16" t="str">
        <x:v>BRL</x:v>
      </x:c>
      <x:c r="F16" s="26" t="n">
        <x:v>-0.3</x:v>
      </x:c>
      <x:c r="G16" t="str">
        <x:v>FECHADO</x:v>
      </x:c>
      <x:c r="H16" t="str">
        <x:v>ERP-ORBITA</x:v>
      </x:c>
    </x:row>
    <x:row r="17">
      <x:c r="A17" s="25" t="n">
        <x:v>45292</x:v>
      </x:c>
      <x:c r="B17" t="str">
        <x:v>3.06.01</x:v>
      </x:c>
      <x:c r="C17" t="str">
        <x:v>Lucro líquido</x:v>
      </x:c>
      <x:c r="D17" t="str">
        <x:v>CONSOLIDADO</x:v>
      </x:c>
      <x:c r="E17" t="str">
        <x:v>BRL</x:v>
      </x:c>
      <x:c r="F17" s="26" t="n">
        <x:v>0.583</x:v>
      </x:c>
      <x:c r="G17" t="str">
        <x:v>FECHADO</x:v>
      </x:c>
      <x:c r="H17" t="str">
        <x:v>ERP-ORBITA</x:v>
      </x:c>
    </x:row>
    <x:row r="18">
      <x:c r="A18" s="25" t="n">
        <x:v>45323</x:v>
      </x:c>
      <x:c r="B18" t="str">
        <x:v>3.01.01</x:v>
      </x:c>
      <x:c r="C18" t="str">
        <x:v>Receita bruta de vendas</x:v>
      </x:c>
      <x:c r="D18" t="str">
        <x:v>CONSOLIDADO</x:v>
      </x:c>
      <x:c r="E18" t="str">
        <x:v>BRL</x:v>
      </x:c>
      <x:c r="F18" s="26" t="n">
        <x:v>12.409</x:v>
      </x:c>
      <x:c r="G18" t="str">
        <x:v>FECHADO</x:v>
      </x:c>
      <x:c r="H18" t="str">
        <x:v>ERP-ORBITA</x:v>
      </x:c>
    </x:row>
    <x:row r="19">
      <x:c r="A19" s="25" t="n">
        <x:v>45323</x:v>
      </x:c>
      <x:c r="B19" t="str">
        <x:v>3.01.02</x:v>
      </x:c>
      <x:c r="C19" t="str">
        <x:v>Deduções e impostos sobre vendas</x:v>
      </x:c>
      <x:c r="D19" t="str">
        <x:v>CONSOLIDADO</x:v>
      </x:c>
      <x:c r="E19" t="str">
        <x:v>BRL</x:v>
      </x:c>
      <x:c r="F19" s="26" t="n">
        <x:v>-0.496</x:v>
      </x:c>
      <x:c r="G19" t="str">
        <x:v>FECHADO</x:v>
      </x:c>
      <x:c r="H19" t="str">
        <x:v>ERP-ORBITA</x:v>
      </x:c>
    </x:row>
    <x:row r="20">
      <x:c r="A20" s="25" t="n">
        <x:v>45323</x:v>
      </x:c>
      <x:c r="B20" t="str">
        <x:v>3.01.03</x:v>
      </x:c>
      <x:c r="C20" t="str">
        <x:v>Receita líquida</x:v>
      </x:c>
      <x:c r="D20" t="str">
        <x:v>CONSOLIDADO</x:v>
      </x:c>
      <x:c r="E20" t="str">
        <x:v>BRL</x:v>
      </x:c>
      <x:c r="F20" s="26" t="n">
        <x:v>11.913</x:v>
      </x:c>
      <x:c r="G20" t="str">
        <x:v>FECHADO</x:v>
      </x:c>
      <x:c r="H20" t="str">
        <x:v>ERP-ORBITA</x:v>
      </x:c>
    </x:row>
    <x:row r="21">
      <x:c r="A21" s="25" t="n">
        <x:v>45323</x:v>
      </x:c>
      <x:c r="B21" t="str">
        <x:v>4.01.01</x:v>
      </x:c>
      <x:c r="C21" t="str">
        <x:v>Custo das mercadorias vendidas</x:v>
      </x:c>
      <x:c r="D21" t="str">
        <x:v>CONSOLIDADO</x:v>
      </x:c>
      <x:c r="E21" t="str">
        <x:v>BRL</x:v>
      </x:c>
      <x:c r="F21" s="26" t="n">
        <x:v>-8.089</x:v>
      </x:c>
      <x:c r="G21" t="str">
        <x:v>FECHADO</x:v>
      </x:c>
      <x:c r="H21" t="str">
        <x:v>ERP-ORBITA</x:v>
      </x:c>
    </x:row>
    <x:row r="22">
      <x:c r="A22" s="25" t="n">
        <x:v>45323</x:v>
      </x:c>
      <x:c r="B22" t="str">
        <x:v>3.02.01</x:v>
      </x:c>
      <x:c r="C22" t="str">
        <x:v>Lucro bruto</x:v>
      </x:c>
      <x:c r="D22" t="str">
        <x:v>CONSOLIDADO</x:v>
      </x:c>
      <x:c r="E22" t="str">
        <x:v>BRL</x:v>
      </x:c>
      <x:c r="F22" s="26" t="n">
        <x:v>3.824</x:v>
      </x:c>
      <x:c r="G22" t="str">
        <x:v>FECHADO</x:v>
      </x:c>
      <x:c r="H22" t="str">
        <x:v>ERP-ORBITA</x:v>
      </x:c>
    </x:row>
    <x:row r="23">
      <x:c r="A23" s="25" t="n">
        <x:v>45323</x:v>
      </x:c>
      <x:c r="B23" t="str">
        <x:v>4.02.01</x:v>
      </x:c>
      <x:c r="C23" t="str">
        <x:v>Pessoal</x:v>
      </x:c>
      <x:c r="D23" t="str">
        <x:v>CONSOLIDADO</x:v>
      </x:c>
      <x:c r="E23" t="str">
        <x:v>BRL</x:v>
      </x:c>
      <x:c r="F23" s="26" t="n">
        <x:v>-0.661</x:v>
      </x:c>
      <x:c r="G23" t="str">
        <x:v>FECHADO</x:v>
      </x:c>
      <x:c r="H23" t="str">
        <x:v>ERP-ORBITA</x:v>
      </x:c>
    </x:row>
    <x:row r="24">
      <x:c r="A24" s="25" t="n">
        <x:v>45323</x:v>
      </x:c>
      <x:c r="B24" t="str">
        <x:v>4.02.02</x:v>
      </x:c>
      <x:c r="C24" t="str">
        <x:v>Ocupação e utilidades</x:v>
      </x:c>
      <x:c r="D24" t="str">
        <x:v>CONSOLIDADO</x:v>
      </x:c>
      <x:c r="E24" t="str">
        <x:v>BRL</x:v>
      </x:c>
      <x:c r="F24" s="26" t="n">
        <x:v>-0.372</x:v>
      </x:c>
      <x:c r="G24" t="str">
        <x:v>FECHADO</x:v>
      </x:c>
      <x:c r="H24" t="str">
        <x:v>ERP-ORBITA</x:v>
      </x:c>
    </x:row>
    <x:row r="25">
      <x:c r="A25" s="25" t="n">
        <x:v>45323</x:v>
      </x:c>
      <x:c r="B25" t="str">
        <x:v>4.02.03</x:v>
      </x:c>
      <x:c r="C25" t="str">
        <x:v>Logística e tecnologia</x:v>
      </x:c>
      <x:c r="D25" t="str">
        <x:v>CONSOLIDADO</x:v>
      </x:c>
      <x:c r="E25" t="str">
        <x:v>BRL</x:v>
      </x:c>
      <x:c r="F25" s="26" t="n">
        <x:v>-0.372</x:v>
      </x:c>
      <x:c r="G25" t="str">
        <x:v>FECHADO</x:v>
      </x:c>
      <x:c r="H25" t="str">
        <x:v>ERP-ORBITA</x:v>
      </x:c>
    </x:row>
    <x:row r="26">
      <x:c r="A26" s="25" t="n">
        <x:v>45323</x:v>
      </x:c>
      <x:c r="B26" t="str">
        <x:v>4.02.04</x:v>
      </x:c>
      <x:c r="C26" t="str">
        <x:v>Despesas comerciais e administrativas</x:v>
      </x:c>
      <x:c r="D26" t="str">
        <x:v>CONSOLIDADO</x:v>
      </x:c>
      <x:c r="E26" t="str">
        <x:v>BRL</x:v>
      </x:c>
      <x:c r="F26" s="26" t="n">
        <x:v>-0.661</x:v>
      </x:c>
      <x:c r="G26" t="str">
        <x:v>FECHADO</x:v>
      </x:c>
      <x:c r="H26" t="str">
        <x:v>ERP-ORBITA</x:v>
      </x:c>
    </x:row>
    <x:row r="27">
      <x:c r="A27" s="25" t="n">
        <x:v>45323</x:v>
      </x:c>
      <x:c r="B27" t="str">
        <x:v>3.03.01</x:v>
      </x:c>
      <x:c r="C27" t="str">
        <x:v>EBITDA</x:v>
      </x:c>
      <x:c r="D27" t="str">
        <x:v>CONSOLIDADO</x:v>
      </x:c>
      <x:c r="E27" t="str">
        <x:v>BRL</x:v>
      </x:c>
      <x:c r="F27" s="26" t="n">
        <x:v>1.76</x:v>
      </x:c>
      <x:c r="G27" t="str">
        <x:v>FECHADO</x:v>
      </x:c>
      <x:c r="H27" t="str">
        <x:v>ERP-ORBITA</x:v>
      </x:c>
    </x:row>
    <x:row r="28">
      <x:c r="A28" s="25" t="n">
        <x:v>45323</x:v>
      </x:c>
      <x:c r="B28" t="str">
        <x:v>4.03.01</x:v>
      </x:c>
      <x:c r="C28" t="str">
        <x:v>Depreciação e amortização</x:v>
      </x:c>
      <x:c r="D28" t="str">
        <x:v>CONSOLIDADO</x:v>
      </x:c>
      <x:c r="E28" t="str">
        <x:v>BRL</x:v>
      </x:c>
      <x:c r="F28" s="26" t="n">
        <x:v>-0.334</x:v>
      </x:c>
      <x:c r="G28" t="str">
        <x:v>FECHADO</x:v>
      </x:c>
      <x:c r="H28" t="str">
        <x:v>ERP-ORBITA</x:v>
      </x:c>
    </x:row>
    <x:row r="29">
      <x:c r="A29" s="25" t="n">
        <x:v>45323</x:v>
      </x:c>
      <x:c r="B29" t="str">
        <x:v>3.04.01</x:v>
      </x:c>
      <x:c r="C29" t="str">
        <x:v>EBIT</x:v>
      </x:c>
      <x:c r="D29" t="str">
        <x:v>CONSOLIDADO</x:v>
      </x:c>
      <x:c r="E29" t="str">
        <x:v>BRL</x:v>
      </x:c>
      <x:c r="F29" s="26" t="n">
        <x:v>1.426</x:v>
      </x:c>
      <x:c r="G29" t="str">
        <x:v>FECHADO</x:v>
      </x:c>
      <x:c r="H29" t="str">
        <x:v>ERP-ORBITA</x:v>
      </x:c>
    </x:row>
    <x:row r="30">
      <x:c r="A30" s="25" t="n">
        <x:v>45323</x:v>
      </x:c>
      <x:c r="B30" t="str">
        <x:v>4.04.01</x:v>
      </x:c>
      <x:c r="C30" t="str">
        <x:v>Resultado financeiro líquido</x:v>
      </x:c>
      <x:c r="D30" t="str">
        <x:v>CONSOLIDADO</x:v>
      </x:c>
      <x:c r="E30" t="str">
        <x:v>BRL</x:v>
      </x:c>
      <x:c r="F30" s="26" t="n">
        <x:v>-0.56</x:v>
      </x:c>
      <x:c r="G30" t="str">
        <x:v>FECHADO</x:v>
      </x:c>
      <x:c r="H30" t="str">
        <x:v>ERP-ORBITA</x:v>
      </x:c>
    </x:row>
    <x:row r="31">
      <x:c r="A31" s="25" t="n">
        <x:v>45323</x:v>
      </x:c>
      <x:c r="B31" t="str">
        <x:v>3.05.01</x:v>
      </x:c>
      <x:c r="C31" t="str">
        <x:v>Lucro antes de IR/CS</x:v>
      </x:c>
      <x:c r="D31" t="str">
        <x:v>CONSOLIDADO</x:v>
      </x:c>
      <x:c r="E31" t="str">
        <x:v>BRL</x:v>
      </x:c>
      <x:c r="F31" s="26" t="n">
        <x:v>0.867</x:v>
      </x:c>
      <x:c r="G31" t="str">
        <x:v>FECHADO</x:v>
      </x:c>
      <x:c r="H31" t="str">
        <x:v>ERP-ORBITA</x:v>
      </x:c>
    </x:row>
    <x:row r="32">
      <x:c r="A32" s="25" t="n">
        <x:v>45323</x:v>
      </x:c>
      <x:c r="B32" t="str">
        <x:v>4.05.01</x:v>
      </x:c>
      <x:c r="C32" t="str">
        <x:v>IRPJ e CSLL</x:v>
      </x:c>
      <x:c r="D32" t="str">
        <x:v>CONSOLIDADO</x:v>
      </x:c>
      <x:c r="E32" t="str">
        <x:v>BRL</x:v>
      </x:c>
      <x:c r="F32" s="26" t="n">
        <x:v>-0.295</x:v>
      </x:c>
      <x:c r="G32" t="str">
        <x:v>FECHADO</x:v>
      </x:c>
      <x:c r="H32" t="str">
        <x:v>ERP-ORBITA</x:v>
      </x:c>
    </x:row>
    <x:row r="33">
      <x:c r="A33" s="25" t="n">
        <x:v>45323</x:v>
      </x:c>
      <x:c r="B33" t="str">
        <x:v>3.06.01</x:v>
      </x:c>
      <x:c r="C33" t="str">
        <x:v>Lucro líquido</x:v>
      </x:c>
      <x:c r="D33" t="str">
        <x:v>CONSOLIDADO</x:v>
      </x:c>
      <x:c r="E33" t="str">
        <x:v>BRL</x:v>
      </x:c>
      <x:c r="F33" s="26" t="n">
        <x:v>0.572</x:v>
      </x:c>
      <x:c r="G33" t="str">
        <x:v>FECHADO</x:v>
      </x:c>
      <x:c r="H33" t="str">
        <x:v>ERP-ORBITA</x:v>
      </x:c>
    </x:row>
    <x:row r="34">
      <x:c r="A34" s="25" t="n">
        <x:v>45352</x:v>
      </x:c>
      <x:c r="B34" t="str">
        <x:v>3.01.01</x:v>
      </x:c>
      <x:c r="C34" t="str">
        <x:v>Receita bruta de vendas</x:v>
      </x:c>
      <x:c r="D34" t="str">
        <x:v>CONSOLIDADO</x:v>
      </x:c>
      <x:c r="E34" t="str">
        <x:v>BRL</x:v>
      </x:c>
      <x:c r="F34" s="26" t="n">
        <x:v>13.444</x:v>
      </x:c>
      <x:c r="G34" t="str">
        <x:v>FECHADO</x:v>
      </x:c>
      <x:c r="H34" t="str">
        <x:v>ERP-ORBITA</x:v>
      </x:c>
    </x:row>
    <x:row r="35">
      <x:c r="A35" s="25" t="n">
        <x:v>45352</x:v>
      </x:c>
      <x:c r="B35" t="str">
        <x:v>3.01.02</x:v>
      </x:c>
      <x:c r="C35" t="str">
        <x:v>Deduções e impostos sobre vendas</x:v>
      </x:c>
      <x:c r="D35" t="str">
        <x:v>CONSOLIDADO</x:v>
      </x:c>
      <x:c r="E35" t="str">
        <x:v>BRL</x:v>
      </x:c>
      <x:c r="F35" s="26" t="n">
        <x:v>-0.538</x:v>
      </x:c>
      <x:c r="G35" t="str">
        <x:v>FECHADO</x:v>
      </x:c>
      <x:c r="H35" t="str">
        <x:v>ERP-ORBITA</x:v>
      </x:c>
    </x:row>
    <x:row r="36">
      <x:c r="A36" s="25" t="n">
        <x:v>45352</x:v>
      </x:c>
      <x:c r="B36" t="str">
        <x:v>3.01.03</x:v>
      </x:c>
      <x:c r="C36" t="str">
        <x:v>Receita líquida</x:v>
      </x:c>
      <x:c r="D36" t="str">
        <x:v>CONSOLIDADO</x:v>
      </x:c>
      <x:c r="E36" t="str">
        <x:v>BRL</x:v>
      </x:c>
      <x:c r="F36" s="26" t="n">
        <x:v>12.906</x:v>
      </x:c>
      <x:c r="G36" t="str">
        <x:v>FECHADO</x:v>
      </x:c>
      <x:c r="H36" t="str">
        <x:v>ERP-ORBITA</x:v>
      </x:c>
    </x:row>
    <x:row r="37">
      <x:c r="A37" s="25" t="n">
        <x:v>45352</x:v>
      </x:c>
      <x:c r="B37" t="str">
        <x:v>4.01.01</x:v>
      </x:c>
      <x:c r="C37" t="str">
        <x:v>Custo das mercadorias vendidas</x:v>
      </x:c>
      <x:c r="D37" t="str">
        <x:v>CONSOLIDADO</x:v>
      </x:c>
      <x:c r="E37" t="str">
        <x:v>BRL</x:v>
      </x:c>
      <x:c r="F37" s="26" t="n">
        <x:v>-8.763</x:v>
      </x:c>
      <x:c r="G37" t="str">
        <x:v>FECHADO</x:v>
      </x:c>
      <x:c r="H37" t="str">
        <x:v>ERP-ORBITA</x:v>
      </x:c>
    </x:row>
    <x:row r="38">
      <x:c r="A38" s="25" t="n">
        <x:v>45352</x:v>
      </x:c>
      <x:c r="B38" t="str">
        <x:v>3.02.01</x:v>
      </x:c>
      <x:c r="C38" t="str">
        <x:v>Lucro bruto</x:v>
      </x:c>
      <x:c r="D38" t="str">
        <x:v>CONSOLIDADO</x:v>
      </x:c>
      <x:c r="E38" t="str">
        <x:v>BRL</x:v>
      </x:c>
      <x:c r="F38" s="26" t="n">
        <x:v>4.143</x:v>
      </x:c>
      <x:c r="G38" t="str">
        <x:v>FECHADO</x:v>
      </x:c>
      <x:c r="H38" t="str">
        <x:v>ERP-ORBITA</x:v>
      </x:c>
    </x:row>
    <x:row r="39">
      <x:c r="A39" s="25" t="n">
        <x:v>45352</x:v>
      </x:c>
      <x:c r="B39" t="str">
        <x:v>4.02.01</x:v>
      </x:c>
      <x:c r="C39" t="str">
        <x:v>Pessoal</x:v>
      </x:c>
      <x:c r="D39" t="str">
        <x:v>CONSOLIDADO</x:v>
      </x:c>
      <x:c r="E39" t="str">
        <x:v>BRL</x:v>
      </x:c>
      <x:c r="F39" s="26" t="n">
        <x:v>-0.709</x:v>
      </x:c>
      <x:c r="G39" t="str">
        <x:v>FECHADO</x:v>
      </x:c>
      <x:c r="H39" t="str">
        <x:v>ERP-ORBITA</x:v>
      </x:c>
    </x:row>
    <x:row r="40">
      <x:c r="A40" s="25" t="n">
        <x:v>45352</x:v>
      </x:c>
      <x:c r="B40" t="str">
        <x:v>4.02.02</x:v>
      </x:c>
      <x:c r="C40" t="str">
        <x:v>Ocupação e utilidades</x:v>
      </x:c>
      <x:c r="D40" t="str">
        <x:v>CONSOLIDADO</x:v>
      </x:c>
      <x:c r="E40" t="str">
        <x:v>BRL</x:v>
      </x:c>
      <x:c r="F40" s="26" t="n">
        <x:v>-0.399</x:v>
      </x:c>
      <x:c r="G40" t="str">
        <x:v>FECHADO</x:v>
      </x:c>
      <x:c r="H40" t="str">
        <x:v>ERP-ORBITA</x:v>
      </x:c>
    </x:row>
    <x:row r="41">
      <x:c r="A41" s="25" t="n">
        <x:v>45352</x:v>
      </x:c>
      <x:c r="B41" t="str">
        <x:v>4.02.03</x:v>
      </x:c>
      <x:c r="C41" t="str">
        <x:v>Logística e tecnologia</x:v>
      </x:c>
      <x:c r="D41" t="str">
        <x:v>CONSOLIDADO</x:v>
      </x:c>
      <x:c r="E41" t="str">
        <x:v>BRL</x:v>
      </x:c>
      <x:c r="F41" s="26" t="n">
        <x:v>-0.399</x:v>
      </x:c>
      <x:c r="G41" t="str">
        <x:v>FECHADO</x:v>
      </x:c>
      <x:c r="H41" t="str">
        <x:v>ERP-ORBITA</x:v>
      </x:c>
    </x:row>
    <x:row r="42">
      <x:c r="A42" s="25" t="n">
        <x:v>45352</x:v>
      </x:c>
      <x:c r="B42" t="str">
        <x:v>4.02.04</x:v>
      </x:c>
      <x:c r="C42" t="str">
        <x:v>Despesas comerciais e administrativas</x:v>
      </x:c>
      <x:c r="D42" t="str">
        <x:v>CONSOLIDADO</x:v>
      </x:c>
      <x:c r="E42" t="str">
        <x:v>BRL</x:v>
      </x:c>
      <x:c r="F42" s="26" t="n">
        <x:v>-0.709</x:v>
      </x:c>
      <x:c r="G42" t="str">
        <x:v>FECHADO</x:v>
      </x:c>
      <x:c r="H42" t="str">
        <x:v>ERP-ORBITA</x:v>
      </x:c>
    </x:row>
    <x:row r="43">
      <x:c r="A43" s="25" t="n">
        <x:v>45352</x:v>
      </x:c>
      <x:c r="B43" t="str">
        <x:v>3.03.01</x:v>
      </x:c>
      <x:c r="C43" t="str">
        <x:v>EBITDA</x:v>
      </x:c>
      <x:c r="D43" t="str">
        <x:v>CONSOLIDADO</x:v>
      </x:c>
      <x:c r="E43" t="str">
        <x:v>BRL</x:v>
      </x:c>
      <x:c r="F43" s="26" t="n">
        <x:v>1.927</x:v>
      </x:c>
      <x:c r="G43" t="str">
        <x:v>FECHADO</x:v>
      </x:c>
      <x:c r="H43" t="str">
        <x:v>ERP-ORBITA</x:v>
      </x:c>
    </x:row>
    <x:row r="44">
      <x:c r="A44" s="25" t="n">
        <x:v>45352</x:v>
      </x:c>
      <x:c r="B44" t="str">
        <x:v>4.03.01</x:v>
      </x:c>
      <x:c r="C44" t="str">
        <x:v>Depreciação e amortização</x:v>
      </x:c>
      <x:c r="D44" t="str">
        <x:v>CONSOLIDADO</x:v>
      </x:c>
      <x:c r="E44" t="str">
        <x:v>BRL</x:v>
      </x:c>
      <x:c r="F44" s="26" t="n">
        <x:v>-0.361</x:v>
      </x:c>
      <x:c r="G44" t="str">
        <x:v>FECHADO</x:v>
      </x:c>
      <x:c r="H44" t="str">
        <x:v>ERP-ORBITA</x:v>
      </x:c>
    </x:row>
    <x:row r="45">
      <x:c r="A45" s="25" t="n">
        <x:v>45352</x:v>
      </x:c>
      <x:c r="B45" t="str">
        <x:v>3.04.01</x:v>
      </x:c>
      <x:c r="C45" t="str">
        <x:v>EBIT</x:v>
      </x:c>
      <x:c r="D45" t="str">
        <x:v>CONSOLIDADO</x:v>
      </x:c>
      <x:c r="E45" t="str">
        <x:v>BRL</x:v>
      </x:c>
      <x:c r="F45" s="26" t="n">
        <x:v>1.566</x:v>
      </x:c>
      <x:c r="G45" t="str">
        <x:v>FECHADO</x:v>
      </x:c>
      <x:c r="H45" t="str">
        <x:v>ERP-ORBITA</x:v>
      </x:c>
    </x:row>
    <x:row r="46">
      <x:c r="A46" s="25" t="n">
        <x:v>45352</x:v>
      </x:c>
      <x:c r="B46" t="str">
        <x:v>4.04.01</x:v>
      </x:c>
      <x:c r="C46" t="str">
        <x:v>Resultado financeiro líquido</x:v>
      </x:c>
      <x:c r="D46" t="str">
        <x:v>CONSOLIDADO</x:v>
      </x:c>
      <x:c r="E46" t="str">
        <x:v>BRL</x:v>
      </x:c>
      <x:c r="F46" s="26" t="n">
        <x:v>-0.607</x:v>
      </x:c>
      <x:c r="G46" t="str">
        <x:v>FECHADO</x:v>
      </x:c>
      <x:c r="H46" t="str">
        <x:v>ERP-ORBITA</x:v>
      </x:c>
    </x:row>
    <x:row r="47">
      <x:c r="A47" s="25" t="n">
        <x:v>45352</x:v>
      </x:c>
      <x:c r="B47" t="str">
        <x:v>3.05.01</x:v>
      </x:c>
      <x:c r="C47" t="str">
        <x:v>Lucro antes de IR/CS</x:v>
      </x:c>
      <x:c r="D47" t="str">
        <x:v>CONSOLIDADO</x:v>
      </x:c>
      <x:c r="E47" t="str">
        <x:v>BRL</x:v>
      </x:c>
      <x:c r="F47" s="26" t="n">
        <x:v>0.959</x:v>
      </x:c>
      <x:c r="G47" t="str">
        <x:v>FECHADO</x:v>
      </x:c>
      <x:c r="H47" t="str">
        <x:v>ERP-ORBITA</x:v>
      </x:c>
    </x:row>
    <x:row r="48">
      <x:c r="A48" s="25" t="n">
        <x:v>45352</x:v>
      </x:c>
      <x:c r="B48" t="str">
        <x:v>4.05.01</x:v>
      </x:c>
      <x:c r="C48" t="str">
        <x:v>IRPJ e CSLL</x:v>
      </x:c>
      <x:c r="D48" t="str">
        <x:v>CONSOLIDADO</x:v>
      </x:c>
      <x:c r="E48" t="str">
        <x:v>BRL</x:v>
      </x:c>
      <x:c r="F48" s="26" t="n">
        <x:v>-0.326</x:v>
      </x:c>
      <x:c r="G48" t="str">
        <x:v>FECHADO</x:v>
      </x:c>
      <x:c r="H48" t="str">
        <x:v>ERP-ORBITA</x:v>
      </x:c>
    </x:row>
    <x:row r="49">
      <x:c r="A49" s="25" t="n">
        <x:v>45352</x:v>
      </x:c>
      <x:c r="B49" t="str">
        <x:v>3.06.01</x:v>
      </x:c>
      <x:c r="C49" t="str">
        <x:v>Lucro líquido</x:v>
      </x:c>
      <x:c r="D49" t="str">
        <x:v>CONSOLIDADO</x:v>
      </x:c>
      <x:c r="E49" t="str">
        <x:v>BRL</x:v>
      </x:c>
      <x:c r="F49" s="26" t="n">
        <x:v>0.633</x:v>
      </x:c>
      <x:c r="G49" t="str">
        <x:v>FECHADO</x:v>
      </x:c>
      <x:c r="H49" t="str">
        <x:v>ERP-ORBITA</x:v>
      </x:c>
    </x:row>
    <x:row r="50">
      <x:c r="A50" s="25" t="n">
        <x:v>45383</x:v>
      </x:c>
      <x:c r="B50" t="str">
        <x:v>3.01.01</x:v>
      </x:c>
      <x:c r="C50" t="str">
        <x:v>Receita bruta de vendas</x:v>
      </x:c>
      <x:c r="D50" t="str">
        <x:v>CONSOLIDADO</x:v>
      </x:c>
      <x:c r="E50" t="str">
        <x:v>BRL</x:v>
      </x:c>
      <x:c r="F50" s="26" t="n">
        <x:v>13.616</x:v>
      </x:c>
      <x:c r="G50" t="str">
        <x:v>FECHADO</x:v>
      </x:c>
      <x:c r="H50" t="str">
        <x:v>ERP-ORBITA</x:v>
      </x:c>
    </x:row>
    <x:row r="51">
      <x:c r="A51" s="25" t="n">
        <x:v>45383</x:v>
      </x:c>
      <x:c r="B51" t="str">
        <x:v>3.01.02</x:v>
      </x:c>
      <x:c r="C51" t="str">
        <x:v>Deduções e impostos sobre vendas</x:v>
      </x:c>
      <x:c r="D51" t="str">
        <x:v>CONSOLIDADO</x:v>
      </x:c>
      <x:c r="E51" t="str">
        <x:v>BRL</x:v>
      </x:c>
      <x:c r="F51" s="26" t="n">
        <x:v>-0.545</x:v>
      </x:c>
      <x:c r="G51" t="str">
        <x:v>FECHADO</x:v>
      </x:c>
      <x:c r="H51" t="str">
        <x:v>ERP-ORBITA</x:v>
      </x:c>
    </x:row>
    <x:row r="52">
      <x:c r="A52" s="25" t="n">
        <x:v>45383</x:v>
      </x:c>
      <x:c r="B52" t="str">
        <x:v>3.01.03</x:v>
      </x:c>
      <x:c r="C52" t="str">
        <x:v>Receita líquida</x:v>
      </x:c>
      <x:c r="D52" t="str">
        <x:v>CONSOLIDADO</x:v>
      </x:c>
      <x:c r="E52" t="str">
        <x:v>BRL</x:v>
      </x:c>
      <x:c r="F52" s="26" t="n">
        <x:v>13.071</x:v>
      </x:c>
      <x:c r="G52" t="str">
        <x:v>FECHADO</x:v>
      </x:c>
      <x:c r="H52" t="str">
        <x:v>ERP-ORBITA</x:v>
      </x:c>
    </x:row>
    <x:row r="53">
      <x:c r="A53" s="25" t="n">
        <x:v>45383</x:v>
      </x:c>
      <x:c r="B53" t="str">
        <x:v>4.01.01</x:v>
      </x:c>
      <x:c r="C53" t="str">
        <x:v>Custo das mercadorias vendidas</x:v>
      </x:c>
      <x:c r="D53" t="str">
        <x:v>CONSOLIDADO</x:v>
      </x:c>
      <x:c r="E53" t="str">
        <x:v>BRL</x:v>
      </x:c>
      <x:c r="F53" s="26" t="n">
        <x:v>-8.875</x:v>
      </x:c>
      <x:c r="G53" t="str">
        <x:v>FECHADO</x:v>
      </x:c>
      <x:c r="H53" t="str">
        <x:v>ERP-ORBITA</x:v>
      </x:c>
    </x:row>
    <x:row r="54">
      <x:c r="A54" s="25" t="n">
        <x:v>45383</x:v>
      </x:c>
      <x:c r="B54" t="str">
        <x:v>3.02.01</x:v>
      </x:c>
      <x:c r="C54" t="str">
        <x:v>Lucro bruto</x:v>
      </x:c>
      <x:c r="D54" t="str">
        <x:v>CONSOLIDADO</x:v>
      </x:c>
      <x:c r="E54" t="str">
        <x:v>BRL</x:v>
      </x:c>
      <x:c r="F54" s="26" t="n">
        <x:v>4.196</x:v>
      </x:c>
      <x:c r="G54" t="str">
        <x:v>FECHADO</x:v>
      </x:c>
      <x:c r="H54" t="str">
        <x:v>ERP-ORBITA</x:v>
      </x:c>
    </x:row>
    <x:row r="55">
      <x:c r="A55" s="25" t="n">
        <x:v>45383</x:v>
      </x:c>
      <x:c r="B55" t="str">
        <x:v>4.02.01</x:v>
      </x:c>
      <x:c r="C55" t="str">
        <x:v>Pessoal</x:v>
      </x:c>
      <x:c r="D55" t="str">
        <x:v>CONSOLIDADO</x:v>
      </x:c>
      <x:c r="E55" t="str">
        <x:v>BRL</x:v>
      </x:c>
      <x:c r="F55" s="26" t="n">
        <x:v>-0.712</x:v>
      </x:c>
      <x:c r="G55" t="str">
        <x:v>FECHADO</x:v>
      </x:c>
      <x:c r="H55" t="str">
        <x:v>ERP-ORBITA</x:v>
      </x:c>
    </x:row>
    <x:row r="56">
      <x:c r="A56" s="25" t="n">
        <x:v>45383</x:v>
      </x:c>
      <x:c r="B56" t="str">
        <x:v>4.02.02</x:v>
      </x:c>
      <x:c r="C56" t="str">
        <x:v>Ocupação e utilidades</x:v>
      </x:c>
      <x:c r="D56" t="str">
        <x:v>CONSOLIDADO</x:v>
      </x:c>
      <x:c r="E56" t="str">
        <x:v>BRL</x:v>
      </x:c>
      <x:c r="F56" s="26" t="n">
        <x:v>-0.4</x:v>
      </x:c>
      <x:c r="G56" t="str">
        <x:v>FECHADO</x:v>
      </x:c>
      <x:c r="H56" t="str">
        <x:v>ERP-ORBITA</x:v>
      </x:c>
    </x:row>
    <x:row r="57">
      <x:c r="A57" s="25" t="n">
        <x:v>45383</x:v>
      </x:c>
      <x:c r="B57" t="str">
        <x:v>4.02.03</x:v>
      </x:c>
      <x:c r="C57" t="str">
        <x:v>Logística e tecnologia</x:v>
      </x:c>
      <x:c r="D57" t="str">
        <x:v>CONSOLIDADO</x:v>
      </x:c>
      <x:c r="E57" t="str">
        <x:v>BRL</x:v>
      </x:c>
      <x:c r="F57" s="26" t="n">
        <x:v>-0.4</x:v>
      </x:c>
      <x:c r="G57" t="str">
        <x:v>FECHADO</x:v>
      </x:c>
      <x:c r="H57" t="str">
        <x:v>ERP-ORBITA</x:v>
      </x:c>
    </x:row>
    <x:row r="58">
      <x:c r="A58" s="25" t="n">
        <x:v>45383</x:v>
      </x:c>
      <x:c r="B58" t="str">
        <x:v>4.02.04</x:v>
      </x:c>
      <x:c r="C58" t="str">
        <x:v>Despesas comerciais e administrativas</x:v>
      </x:c>
      <x:c r="D58" t="str">
        <x:v>CONSOLIDADO</x:v>
      </x:c>
      <x:c r="E58" t="str">
        <x:v>BRL</x:v>
      </x:c>
      <x:c r="F58" s="26" t="n">
        <x:v>-0.712</x:v>
      </x:c>
      <x:c r="G58" t="str">
        <x:v>FECHADO</x:v>
      </x:c>
      <x:c r="H58" t="str">
        <x:v>ERP-ORBITA</x:v>
      </x:c>
    </x:row>
    <x:row r="59">
      <x:c r="A59" s="25" t="n">
        <x:v>45383</x:v>
      </x:c>
      <x:c r="B59" t="str">
        <x:v>3.03.01</x:v>
      </x:c>
      <x:c r="C59" t="str">
        <x:v>EBITDA</x:v>
      </x:c>
      <x:c r="D59" t="str">
        <x:v>CONSOLIDADO</x:v>
      </x:c>
      <x:c r="E59" t="str">
        <x:v>BRL</x:v>
      </x:c>
      <x:c r="F59" s="26" t="n">
        <x:v>1.972</x:v>
      </x:c>
      <x:c r="G59" t="str">
        <x:v>FECHADO</x:v>
      </x:c>
      <x:c r="H59" t="str">
        <x:v>ERP-ORBITA</x:v>
      </x:c>
    </x:row>
    <x:row r="60">
      <x:c r="A60" s="25" t="n">
        <x:v>45383</x:v>
      </x:c>
      <x:c r="B60" t="str">
        <x:v>4.03.01</x:v>
      </x:c>
      <x:c r="C60" t="str">
        <x:v>Depreciação e amortização</x:v>
      </x:c>
      <x:c r="D60" t="str">
        <x:v>CONSOLIDADO</x:v>
      </x:c>
      <x:c r="E60" t="str">
        <x:v>BRL</x:v>
      </x:c>
      <x:c r="F60" s="26" t="n">
        <x:v>-0.366</x:v>
      </x:c>
      <x:c r="G60" t="str">
        <x:v>FECHADO</x:v>
      </x:c>
      <x:c r="H60" t="str">
        <x:v>ERP-ORBITA</x:v>
      </x:c>
    </x:row>
    <x:row r="61">
      <x:c r="A61" s="25" t="n">
        <x:v>45383</x:v>
      </x:c>
      <x:c r="B61" t="str">
        <x:v>3.04.01</x:v>
      </x:c>
      <x:c r="C61" t="str">
        <x:v>EBIT</x:v>
      </x:c>
      <x:c r="D61" t="str">
        <x:v>CONSOLIDADO</x:v>
      </x:c>
      <x:c r="E61" t="str">
        <x:v>BRL</x:v>
      </x:c>
      <x:c r="F61" s="26" t="n">
        <x:v>1.606</x:v>
      </x:c>
      <x:c r="G61" t="str">
        <x:v>FECHADO</x:v>
      </x:c>
      <x:c r="H61" t="str">
        <x:v>ERP-ORBITA</x:v>
      </x:c>
    </x:row>
    <x:row r="62">
      <x:c r="A62" s="25" t="n">
        <x:v>45383</x:v>
      </x:c>
      <x:c r="B62" t="str">
        <x:v>4.04.01</x:v>
      </x:c>
      <x:c r="C62" t="str">
        <x:v>Resultado financeiro líquido</x:v>
      </x:c>
      <x:c r="D62" t="str">
        <x:v>CONSOLIDADO</x:v>
      </x:c>
      <x:c r="E62" t="str">
        <x:v>BRL</x:v>
      </x:c>
      <x:c r="F62" s="26" t="n">
        <x:v>-0.614</x:v>
      </x:c>
      <x:c r="G62" t="str">
        <x:v>FECHADO</x:v>
      </x:c>
      <x:c r="H62" t="str">
        <x:v>ERP-ORBITA</x:v>
      </x:c>
    </x:row>
    <x:row r="63">
      <x:c r="A63" s="25" t="n">
        <x:v>45383</x:v>
      </x:c>
      <x:c r="B63" t="str">
        <x:v>3.05.01</x:v>
      </x:c>
      <x:c r="C63" t="str">
        <x:v>Lucro antes de IR/CS</x:v>
      </x:c>
      <x:c r="D63" t="str">
        <x:v>CONSOLIDADO</x:v>
      </x:c>
      <x:c r="E63" t="str">
        <x:v>BRL</x:v>
      </x:c>
      <x:c r="F63" s="26" t="n">
        <x:v>0.992</x:v>
      </x:c>
      <x:c r="G63" t="str">
        <x:v>FECHADO</x:v>
      </x:c>
      <x:c r="H63" t="str">
        <x:v>ERP-ORBITA</x:v>
      </x:c>
    </x:row>
    <x:row r="64">
      <x:c r="A64" s="25" t="n">
        <x:v>45383</x:v>
      </x:c>
      <x:c r="B64" t="str">
        <x:v>4.05.01</x:v>
      </x:c>
      <x:c r="C64" t="str">
        <x:v>IRPJ e CSLL</x:v>
      </x:c>
      <x:c r="D64" t="str">
        <x:v>CONSOLIDADO</x:v>
      </x:c>
      <x:c r="E64" t="str">
        <x:v>BRL</x:v>
      </x:c>
      <x:c r="F64" s="26" t="n">
        <x:v>-0.337</x:v>
      </x:c>
      <x:c r="G64" t="str">
        <x:v>FECHADO</x:v>
      </x:c>
      <x:c r="H64" t="str">
        <x:v>ERP-ORBITA</x:v>
      </x:c>
    </x:row>
    <x:row r="65">
      <x:c r="A65" s="25" t="n">
        <x:v>45383</x:v>
      </x:c>
      <x:c r="B65" t="str">
        <x:v>3.06.01</x:v>
      </x:c>
      <x:c r="C65" t="str">
        <x:v>Lucro líquido</x:v>
      </x:c>
      <x:c r="D65" t="str">
        <x:v>CONSOLIDADO</x:v>
      </x:c>
      <x:c r="E65" t="str">
        <x:v>BRL</x:v>
      </x:c>
      <x:c r="F65" s="26" t="n">
        <x:v>0.655</x:v>
      </x:c>
      <x:c r="G65" t="str">
        <x:v>FECHADO</x:v>
      </x:c>
      <x:c r="H65" t="str">
        <x:v>ERP-ORBITA</x:v>
      </x:c>
    </x:row>
    <x:row r="66">
      <x:c r="A66" s="25" t="n">
        <x:v>45413</x:v>
      </x:c>
      <x:c r="B66" t="str">
        <x:v>3.01.01</x:v>
      </x:c>
      <x:c r="C66" t="str">
        <x:v>Receita bruta de vendas</x:v>
      </x:c>
      <x:c r="D66" t="str">
        <x:v>CONSOLIDADO</x:v>
      </x:c>
      <x:c r="E66" t="str">
        <x:v>BRL</x:v>
      </x:c>
      <x:c r="F66" s="26" t="n">
        <x:v>13.789</x:v>
      </x:c>
      <x:c r="G66" t="str">
        <x:v>FECHADO</x:v>
      </x:c>
      <x:c r="H66" t="str">
        <x:v>ERP-ORBITA</x:v>
      </x:c>
    </x:row>
    <x:row r="67">
      <x:c r="A67" s="25" t="n">
        <x:v>45413</x:v>
      </x:c>
      <x:c r="B67" t="str">
        <x:v>3.01.02</x:v>
      </x:c>
      <x:c r="C67" t="str">
        <x:v>Deduções e impostos sobre vendas</x:v>
      </x:c>
      <x:c r="D67" t="str">
        <x:v>CONSOLIDADO</x:v>
      </x:c>
      <x:c r="E67" t="str">
        <x:v>BRL</x:v>
      </x:c>
      <x:c r="F67" s="26" t="n">
        <x:v>-0.552</x:v>
      </x:c>
      <x:c r="G67" t="str">
        <x:v>FECHADO</x:v>
      </x:c>
      <x:c r="H67" t="str">
        <x:v>ERP-ORBITA</x:v>
      </x:c>
    </x:row>
    <x:row r="68">
      <x:c r="A68" s="25" t="n">
        <x:v>45413</x:v>
      </x:c>
      <x:c r="B68" t="str">
        <x:v>3.01.03</x:v>
      </x:c>
      <x:c r="C68" t="str">
        <x:v>Receita líquida</x:v>
      </x:c>
      <x:c r="D68" t="str">
        <x:v>CONSOLIDADO</x:v>
      </x:c>
      <x:c r="E68" t="str">
        <x:v>BRL</x:v>
      </x:c>
      <x:c r="F68" s="26" t="n">
        <x:v>13.237</x:v>
      </x:c>
      <x:c r="G68" t="str">
        <x:v>FECHADO</x:v>
      </x:c>
      <x:c r="H68" t="str">
        <x:v>ERP-ORBITA</x:v>
      </x:c>
    </x:row>
    <x:row r="69">
      <x:c r="A69" s="25" t="n">
        <x:v>45413</x:v>
      </x:c>
      <x:c r="B69" t="str">
        <x:v>4.01.01</x:v>
      </x:c>
      <x:c r="C69" t="str">
        <x:v>Custo das mercadorias vendidas</x:v>
      </x:c>
      <x:c r="D69" t="str">
        <x:v>CONSOLIDADO</x:v>
      </x:c>
      <x:c r="E69" t="str">
        <x:v>BRL</x:v>
      </x:c>
      <x:c r="F69" s="26" t="n">
        <x:v>-8.988</x:v>
      </x:c>
      <x:c r="G69" t="str">
        <x:v>FECHADO</x:v>
      </x:c>
      <x:c r="H69" t="str">
        <x:v>ERP-ORBITA</x:v>
      </x:c>
    </x:row>
    <x:row r="70">
      <x:c r="A70" s="25" t="n">
        <x:v>45413</x:v>
      </x:c>
      <x:c r="B70" t="str">
        <x:v>3.02.01</x:v>
      </x:c>
      <x:c r="C70" t="str">
        <x:v>Lucro bruto</x:v>
      </x:c>
      <x:c r="D70" t="str">
        <x:v>CONSOLIDADO</x:v>
      </x:c>
      <x:c r="E70" t="str">
        <x:v>BRL</x:v>
      </x:c>
      <x:c r="F70" s="26" t="n">
        <x:v>4.249</x:v>
      </x:c>
      <x:c r="G70" t="str">
        <x:v>FECHADO</x:v>
      </x:c>
      <x:c r="H70" t="str">
        <x:v>ERP-ORBITA</x:v>
      </x:c>
    </x:row>
    <x:row r="71">
      <x:c r="A71" s="25" t="n">
        <x:v>45413</x:v>
      </x:c>
      <x:c r="B71" t="str">
        <x:v>4.02.01</x:v>
      </x:c>
      <x:c r="C71" t="str">
        <x:v>Pessoal</x:v>
      </x:c>
      <x:c r="D71" t="str">
        <x:v>CONSOLIDADO</x:v>
      </x:c>
      <x:c r="E71" t="str">
        <x:v>BRL</x:v>
      </x:c>
      <x:c r="F71" s="26" t="n">
        <x:v>-0.714</x:v>
      </x:c>
      <x:c r="G71" t="str">
        <x:v>FECHADO</x:v>
      </x:c>
      <x:c r="H71" t="str">
        <x:v>ERP-ORBITA</x:v>
      </x:c>
    </x:row>
    <x:row r="72">
      <x:c r="A72" s="25" t="n">
        <x:v>45413</x:v>
      </x:c>
      <x:c r="B72" t="str">
        <x:v>4.02.02</x:v>
      </x:c>
      <x:c r="C72" t="str">
        <x:v>Ocupação e utilidades</x:v>
      </x:c>
      <x:c r="D72" t="str">
        <x:v>CONSOLIDADO</x:v>
      </x:c>
      <x:c r="E72" t="str">
        <x:v>BRL</x:v>
      </x:c>
      <x:c r="F72" s="26" t="n">
        <x:v>-0.402</x:v>
      </x:c>
      <x:c r="G72" t="str">
        <x:v>FECHADO</x:v>
      </x:c>
      <x:c r="H72" t="str">
        <x:v>ERP-ORBITA</x:v>
      </x:c>
    </x:row>
    <x:row r="73">
      <x:c r="A73" s="25" t="n">
        <x:v>45413</x:v>
      </x:c>
      <x:c r="B73" t="str">
        <x:v>4.02.03</x:v>
      </x:c>
      <x:c r="C73" t="str">
        <x:v>Logística e tecnologia</x:v>
      </x:c>
      <x:c r="D73" t="str">
        <x:v>CONSOLIDADO</x:v>
      </x:c>
      <x:c r="E73" t="str">
        <x:v>BRL</x:v>
      </x:c>
      <x:c r="F73" s="26" t="n">
        <x:v>-0.402</x:v>
      </x:c>
      <x:c r="G73" t="str">
        <x:v>FECHADO</x:v>
      </x:c>
      <x:c r="H73" t="str">
        <x:v>ERP-ORBITA</x:v>
      </x:c>
    </x:row>
    <x:row r="74">
      <x:c r="A74" s="25" t="n">
        <x:v>45413</x:v>
      </x:c>
      <x:c r="B74" t="str">
        <x:v>4.02.04</x:v>
      </x:c>
      <x:c r="C74" t="str">
        <x:v>Despesas comerciais e administrativas</x:v>
      </x:c>
      <x:c r="D74" t="str">
        <x:v>CONSOLIDADO</x:v>
      </x:c>
      <x:c r="E74" t="str">
        <x:v>BRL</x:v>
      </x:c>
      <x:c r="F74" s="26" t="n">
        <x:v>-0.714</x:v>
      </x:c>
      <x:c r="G74" t="str">
        <x:v>FECHADO</x:v>
      </x:c>
      <x:c r="H74" t="str">
        <x:v>ERP-ORBITA</x:v>
      </x:c>
    </x:row>
    <x:row r="75">
      <x:c r="A75" s="25" t="n">
        <x:v>45413</x:v>
      </x:c>
      <x:c r="B75" t="str">
        <x:v>3.03.01</x:v>
      </x:c>
      <x:c r="C75" t="str">
        <x:v>EBITDA</x:v>
      </x:c>
      <x:c r="D75" t="str">
        <x:v>CONSOLIDADO</x:v>
      </x:c>
      <x:c r="E75" t="str">
        <x:v>BRL</x:v>
      </x:c>
      <x:c r="F75" s="26" t="n">
        <x:v>2.018</x:v>
      </x:c>
      <x:c r="G75" t="str">
        <x:v>FECHADO</x:v>
      </x:c>
      <x:c r="H75" t="str">
        <x:v>ERP-ORBITA</x:v>
      </x:c>
    </x:row>
    <x:row r="76">
      <x:c r="A76" s="25" t="n">
        <x:v>45413</x:v>
      </x:c>
      <x:c r="B76" t="str">
        <x:v>4.03.01</x:v>
      </x:c>
      <x:c r="C76" t="str">
        <x:v>Depreciação e amortização</x:v>
      </x:c>
      <x:c r="D76" t="str">
        <x:v>CONSOLIDADO</x:v>
      </x:c>
      <x:c r="E76" t="str">
        <x:v>BRL</x:v>
      </x:c>
      <x:c r="F76" s="26" t="n">
        <x:v>-0.371</x:v>
      </x:c>
      <x:c r="G76" t="str">
        <x:v>FECHADO</x:v>
      </x:c>
      <x:c r="H76" t="str">
        <x:v>ERP-ORBITA</x:v>
      </x:c>
    </x:row>
    <x:row r="77">
      <x:c r="A77" s="25" t="n">
        <x:v>45413</x:v>
      </x:c>
      <x:c r="B77" t="str">
        <x:v>3.04.01</x:v>
      </x:c>
      <x:c r="C77" t="str">
        <x:v>EBIT</x:v>
      </x:c>
      <x:c r="D77" t="str">
        <x:v>CONSOLIDADO</x:v>
      </x:c>
      <x:c r="E77" t="str">
        <x:v>BRL</x:v>
      </x:c>
      <x:c r="F77" s="26" t="n">
        <x:v>1.647</x:v>
      </x:c>
      <x:c r="G77" t="str">
        <x:v>FECHADO</x:v>
      </x:c>
      <x:c r="H77" t="str">
        <x:v>ERP-ORBITA</x:v>
      </x:c>
    </x:row>
    <x:row r="78">
      <x:c r="A78" s="25" t="n">
        <x:v>45413</x:v>
      </x:c>
      <x:c r="B78" t="str">
        <x:v>4.04.01</x:v>
      </x:c>
      <x:c r="C78" t="str">
        <x:v>Resultado financeiro líquido</x:v>
      </x:c>
      <x:c r="D78" t="str">
        <x:v>CONSOLIDADO</x:v>
      </x:c>
      <x:c r="E78" t="str">
        <x:v>BRL</x:v>
      </x:c>
      <x:c r="F78" s="26" t="n">
        <x:v>-0.622</x:v>
      </x:c>
      <x:c r="G78" t="str">
        <x:v>FECHADO</x:v>
      </x:c>
      <x:c r="H78" t="str">
        <x:v>ERP-ORBITA</x:v>
      </x:c>
    </x:row>
    <x:row r="79">
      <x:c r="A79" s="25" t="n">
        <x:v>45413</x:v>
      </x:c>
      <x:c r="B79" t="str">
        <x:v>3.05.01</x:v>
      </x:c>
      <x:c r="C79" t="str">
        <x:v>Lucro antes de IR/CS</x:v>
      </x:c>
      <x:c r="D79" t="str">
        <x:v>CONSOLIDADO</x:v>
      </x:c>
      <x:c r="E79" t="str">
        <x:v>BRL</x:v>
      </x:c>
      <x:c r="F79" s="26" t="n">
        <x:v>1.025</x:v>
      </x:c>
      <x:c r="G79" t="str">
        <x:v>FECHADO</x:v>
      </x:c>
      <x:c r="H79" t="str">
        <x:v>ERP-ORBITA</x:v>
      </x:c>
    </x:row>
    <x:row r="80">
      <x:c r="A80" s="25" t="n">
        <x:v>45413</x:v>
      </x:c>
      <x:c r="B80" t="str">
        <x:v>4.05.01</x:v>
      </x:c>
      <x:c r="C80" t="str">
        <x:v>IRPJ e CSLL</x:v>
      </x:c>
      <x:c r="D80" t="str">
        <x:v>CONSOLIDADO</x:v>
      </x:c>
      <x:c r="E80" t="str">
        <x:v>BRL</x:v>
      </x:c>
      <x:c r="F80" s="26" t="n">
        <x:v>-0.349</x:v>
      </x:c>
      <x:c r="G80" t="str">
        <x:v>FECHADO</x:v>
      </x:c>
      <x:c r="H80" t="str">
        <x:v>ERP-ORBITA</x:v>
      </x:c>
    </x:row>
    <x:row r="81">
      <x:c r="A81" s="25" t="n">
        <x:v>45413</x:v>
      </x:c>
      <x:c r="B81" t="str">
        <x:v>3.06.01</x:v>
      </x:c>
      <x:c r="C81" t="str">
        <x:v>Lucro líquido</x:v>
      </x:c>
      <x:c r="D81" t="str">
        <x:v>CONSOLIDADO</x:v>
      </x:c>
      <x:c r="E81" t="str">
        <x:v>BRL</x:v>
      </x:c>
      <x:c r="F81" s="26" t="n">
        <x:v>0.677</x:v>
      </x:c>
      <x:c r="G81" t="str">
        <x:v>FECHADO</x:v>
      </x:c>
      <x:c r="H81" t="str">
        <x:v>ERP-ORBITA</x:v>
      </x:c>
    </x:row>
    <x:row r="82">
      <x:c r="A82" s="25" t="n">
        <x:v>45444</x:v>
      </x:c>
      <x:c r="B82" t="str">
        <x:v>3.01.01</x:v>
      </x:c>
      <x:c r="C82" t="str">
        <x:v>Receita bruta de vendas</x:v>
      </x:c>
      <x:c r="D82" t="str">
        <x:v>CONSOLIDADO</x:v>
      </x:c>
      <x:c r="E82" t="str">
        <x:v>BRL</x:v>
      </x:c>
      <x:c r="F82" s="26" t="n">
        <x:v>13.96</x:v>
      </x:c>
      <x:c r="G82" t="str">
        <x:v>FECHADO</x:v>
      </x:c>
      <x:c r="H82" t="str">
        <x:v>ERP-ORBITA</x:v>
      </x:c>
    </x:row>
    <x:row r="83">
      <x:c r="A83" s="25" t="n">
        <x:v>45444</x:v>
      </x:c>
      <x:c r="B83" t="str">
        <x:v>3.01.02</x:v>
      </x:c>
      <x:c r="C83" t="str">
        <x:v>Deduções e impostos sobre vendas</x:v>
      </x:c>
      <x:c r="D83" t="str">
        <x:v>CONSOLIDADO</x:v>
      </x:c>
      <x:c r="E83" t="str">
        <x:v>BRL</x:v>
      </x:c>
      <x:c r="F83" s="26" t="n">
        <x:v>-0.558</x:v>
      </x:c>
      <x:c r="G83" t="str">
        <x:v>FECHADO</x:v>
      </x:c>
      <x:c r="H83" t="str">
        <x:v>ERP-ORBITA</x:v>
      </x:c>
    </x:row>
    <x:row r="84">
      <x:c r="A84" s="25" t="n">
        <x:v>45444</x:v>
      </x:c>
      <x:c r="B84" t="str">
        <x:v>3.01.03</x:v>
      </x:c>
      <x:c r="C84" t="str">
        <x:v>Receita líquida</x:v>
      </x:c>
      <x:c r="D84" t="str">
        <x:v>CONSOLIDADO</x:v>
      </x:c>
      <x:c r="E84" t="str">
        <x:v>BRL</x:v>
      </x:c>
      <x:c r="F84" s="26" t="n">
        <x:v>13.402</x:v>
      </x:c>
      <x:c r="G84" t="str">
        <x:v>FECHADO</x:v>
      </x:c>
      <x:c r="H84" t="str">
        <x:v>ERP-ORBITA</x:v>
      </x:c>
    </x:row>
    <x:row r="85">
      <x:c r="A85" s="25" t="n">
        <x:v>45444</x:v>
      </x:c>
      <x:c r="B85" t="str">
        <x:v>4.01.01</x:v>
      </x:c>
      <x:c r="C85" t="str">
        <x:v>Custo das mercadorias vendidas</x:v>
      </x:c>
      <x:c r="D85" t="str">
        <x:v>CONSOLIDADO</x:v>
      </x:c>
      <x:c r="E85" t="str">
        <x:v>BRL</x:v>
      </x:c>
      <x:c r="F85" s="26" t="n">
        <x:v>-9.1</x:v>
      </x:c>
      <x:c r="G85" t="str">
        <x:v>FECHADO</x:v>
      </x:c>
      <x:c r="H85" t="str">
        <x:v>ERP-ORBITA</x:v>
      </x:c>
    </x:row>
    <x:row r="86">
      <x:c r="A86" s="25" t="n">
        <x:v>45444</x:v>
      </x:c>
      <x:c r="B86" t="str">
        <x:v>3.02.01</x:v>
      </x:c>
      <x:c r="C86" t="str">
        <x:v>Lucro bruto</x:v>
      </x:c>
      <x:c r="D86" t="str">
        <x:v>CONSOLIDADO</x:v>
      </x:c>
      <x:c r="E86" t="str">
        <x:v>BRL</x:v>
      </x:c>
      <x:c r="F86" s="26" t="n">
        <x:v>4.302</x:v>
      </x:c>
      <x:c r="G86" t="str">
        <x:v>FECHADO</x:v>
      </x:c>
      <x:c r="H86" t="str">
        <x:v>ERP-ORBITA</x:v>
      </x:c>
    </x:row>
    <x:row r="87">
      <x:c r="A87" s="25" t="n">
        <x:v>45444</x:v>
      </x:c>
      <x:c r="B87" t="str">
        <x:v>4.02.01</x:v>
      </x:c>
      <x:c r="C87" t="str">
        <x:v>Pessoal</x:v>
      </x:c>
      <x:c r="D87" t="str">
        <x:v>CONSOLIDADO</x:v>
      </x:c>
      <x:c r="E87" t="str">
        <x:v>BRL</x:v>
      </x:c>
      <x:c r="F87" s="26" t="n">
        <x:v>-0.716</x:v>
      </x:c>
      <x:c r="G87" t="str">
        <x:v>FECHADO</x:v>
      </x:c>
      <x:c r="H87" t="str">
        <x:v>ERP-ORBITA</x:v>
      </x:c>
    </x:row>
    <x:row r="88">
      <x:c r="A88" s="25" t="n">
        <x:v>45444</x:v>
      </x:c>
      <x:c r="B88" t="str">
        <x:v>4.02.02</x:v>
      </x:c>
      <x:c r="C88" t="str">
        <x:v>Ocupação e utilidades</x:v>
      </x:c>
      <x:c r="D88" t="str">
        <x:v>CONSOLIDADO</x:v>
      </x:c>
      <x:c r="E88" t="str">
        <x:v>BRL</x:v>
      </x:c>
      <x:c r="F88" s="26" t="n">
        <x:v>-0.403</x:v>
      </x:c>
      <x:c r="G88" t="str">
        <x:v>FECHADO</x:v>
      </x:c>
      <x:c r="H88" t="str">
        <x:v>ERP-ORBITA</x:v>
      </x:c>
    </x:row>
    <x:row r="89">
      <x:c r="A89" s="25" t="n">
        <x:v>45444</x:v>
      </x:c>
      <x:c r="B89" t="str">
        <x:v>4.02.03</x:v>
      </x:c>
      <x:c r="C89" t="str">
        <x:v>Logística e tecnologia</x:v>
      </x:c>
      <x:c r="D89" t="str">
        <x:v>CONSOLIDADO</x:v>
      </x:c>
      <x:c r="E89" t="str">
        <x:v>BRL</x:v>
      </x:c>
      <x:c r="F89" s="26" t="n">
        <x:v>-0.403</x:v>
      </x:c>
      <x:c r="G89" t="str">
        <x:v>FECHADO</x:v>
      </x:c>
      <x:c r="H89" t="str">
        <x:v>ERP-ORBITA</x:v>
      </x:c>
    </x:row>
    <x:row r="90">
      <x:c r="A90" s="25" t="n">
        <x:v>45444</x:v>
      </x:c>
      <x:c r="B90" t="str">
        <x:v>4.02.04</x:v>
      </x:c>
      <x:c r="C90" t="str">
        <x:v>Despesas comerciais e administrativas</x:v>
      </x:c>
      <x:c r="D90" t="str">
        <x:v>CONSOLIDADO</x:v>
      </x:c>
      <x:c r="E90" t="str">
        <x:v>BRL</x:v>
      </x:c>
      <x:c r="F90" s="26" t="n">
        <x:v>-0.716</x:v>
      </x:c>
      <x:c r="G90" t="str">
        <x:v>FECHADO</x:v>
      </x:c>
      <x:c r="H90" t="str">
        <x:v>ERP-ORBITA</x:v>
      </x:c>
    </x:row>
    <x:row r="91">
      <x:c r="A91" s="25" t="n">
        <x:v>45444</x:v>
      </x:c>
      <x:c r="B91" t="str">
        <x:v>3.03.01</x:v>
      </x:c>
      <x:c r="C91" t="str">
        <x:v>EBITDA</x:v>
      </x:c>
      <x:c r="D91" t="str">
        <x:v>CONSOLIDADO</x:v>
      </x:c>
      <x:c r="E91" t="str">
        <x:v>BRL</x:v>
      </x:c>
      <x:c r="F91" s="26" t="n">
        <x:v>2.064</x:v>
      </x:c>
      <x:c r="G91" t="str">
        <x:v>FECHADO</x:v>
      </x:c>
      <x:c r="H91" t="str">
        <x:v>ERP-ORBITA</x:v>
      </x:c>
    </x:row>
    <x:row r="92">
      <x:c r="A92" s="25" t="n">
        <x:v>45444</x:v>
      </x:c>
      <x:c r="B92" t="str">
        <x:v>4.03.01</x:v>
      </x:c>
      <x:c r="C92" t="str">
        <x:v>Depreciação e amortização</x:v>
      </x:c>
      <x:c r="D92" t="str">
        <x:v>CONSOLIDADO</x:v>
      </x:c>
      <x:c r="E92" t="str">
        <x:v>BRL</x:v>
      </x:c>
      <x:c r="F92" s="26" t="n">
        <x:v>-0.375</x:v>
      </x:c>
      <x:c r="G92" t="str">
        <x:v>FECHADO</x:v>
      </x:c>
      <x:c r="H92" t="str">
        <x:v>ERP-ORBITA</x:v>
      </x:c>
    </x:row>
    <x:row r="93">
      <x:c r="A93" s="25" t="n">
        <x:v>45444</x:v>
      </x:c>
      <x:c r="B93" t="str">
        <x:v>3.04.01</x:v>
      </x:c>
      <x:c r="C93" t="str">
        <x:v>EBIT</x:v>
      </x:c>
      <x:c r="D93" t="str">
        <x:v>CONSOLIDADO</x:v>
      </x:c>
      <x:c r="E93" t="str">
        <x:v>BRL</x:v>
      </x:c>
      <x:c r="F93" s="26" t="n">
        <x:v>1.689</x:v>
      </x:c>
      <x:c r="G93" t="str">
        <x:v>FECHADO</x:v>
      </x:c>
      <x:c r="H93" t="str">
        <x:v>ERP-ORBITA</x:v>
      </x:c>
    </x:row>
    <x:row r="94">
      <x:c r="A94" s="25" t="n">
        <x:v>45444</x:v>
      </x:c>
      <x:c r="B94" t="str">
        <x:v>4.04.01</x:v>
      </x:c>
      <x:c r="C94" t="str">
        <x:v>Resultado financeiro líquido</x:v>
      </x:c>
      <x:c r="D94" t="str">
        <x:v>CONSOLIDADO</x:v>
      </x:c>
      <x:c r="E94" t="str">
        <x:v>BRL</x:v>
      </x:c>
      <x:c r="F94" s="26" t="n">
        <x:v>-0.63</x:v>
      </x:c>
      <x:c r="G94" t="str">
        <x:v>FECHADO</x:v>
      </x:c>
      <x:c r="H94" t="str">
        <x:v>ERP-ORBITA</x:v>
      </x:c>
    </x:row>
    <x:row r="95">
      <x:c r="A95" s="25" t="n">
        <x:v>45444</x:v>
      </x:c>
      <x:c r="B95" t="str">
        <x:v>3.05.01</x:v>
      </x:c>
      <x:c r="C95" t="str">
        <x:v>Lucro antes de IR/CS</x:v>
      </x:c>
      <x:c r="D95" t="str">
        <x:v>CONSOLIDADO</x:v>
      </x:c>
      <x:c r="E95" t="str">
        <x:v>BRL</x:v>
      </x:c>
      <x:c r="F95" s="26" t="n">
        <x:v>1.059</x:v>
      </x:c>
      <x:c r="G95" t="str">
        <x:v>FECHADO</x:v>
      </x:c>
      <x:c r="H95" t="str">
        <x:v>ERP-ORBITA</x:v>
      </x:c>
    </x:row>
    <x:row r="96">
      <x:c r="A96" s="25" t="n">
        <x:v>45444</x:v>
      </x:c>
      <x:c r="B96" t="str">
        <x:v>4.05.01</x:v>
      </x:c>
      <x:c r="C96" t="str">
        <x:v>IRPJ e CSLL</x:v>
      </x:c>
      <x:c r="D96" t="str">
        <x:v>CONSOLIDADO</x:v>
      </x:c>
      <x:c r="E96" t="str">
        <x:v>BRL</x:v>
      </x:c>
      <x:c r="F96" s="26" t="n">
        <x:v>-0.36</x:v>
      </x:c>
      <x:c r="G96" t="str">
        <x:v>FECHADO</x:v>
      </x:c>
      <x:c r="H96" t="str">
        <x:v>ERP-ORBITA</x:v>
      </x:c>
    </x:row>
    <x:row r="97">
      <x:c r="A97" s="25" t="n">
        <x:v>45444</x:v>
      </x:c>
      <x:c r="B97" t="str">
        <x:v>3.06.01</x:v>
      </x:c>
      <x:c r="C97" t="str">
        <x:v>Lucro líquido</x:v>
      </x:c>
      <x:c r="D97" t="str">
        <x:v>CONSOLIDADO</x:v>
      </x:c>
      <x:c r="E97" t="str">
        <x:v>BRL</x:v>
      </x:c>
      <x:c r="F97" s="26" t="n">
        <x:v>0.699</x:v>
      </x:c>
      <x:c r="G97" t="str">
        <x:v>FECHADO</x:v>
      </x:c>
      <x:c r="H97" t="str">
        <x:v>ERP-ORBITA</x:v>
      </x:c>
    </x:row>
    <x:row r="98">
      <x:c r="A98" s="25" t="n">
        <x:v>45474</x:v>
      </x:c>
      <x:c r="B98" t="str">
        <x:v>3.01.01</x:v>
      </x:c>
      <x:c r="C98" t="str">
        <x:v>Receita bruta de vendas</x:v>
      </x:c>
      <x:c r="D98" t="str">
        <x:v>CONSOLIDADO</x:v>
      </x:c>
      <x:c r="E98" t="str">
        <x:v>BRL</x:v>
      </x:c>
      <x:c r="F98" s="26" t="n">
        <x:v>14.133</x:v>
      </x:c>
      <x:c r="G98" t="str">
        <x:v>FECHADO</x:v>
      </x:c>
      <x:c r="H98" t="str">
        <x:v>ERP-ORBITA</x:v>
      </x:c>
    </x:row>
    <x:row r="99">
      <x:c r="A99" s="25" t="n">
        <x:v>45474</x:v>
      </x:c>
      <x:c r="B99" t="str">
        <x:v>3.01.02</x:v>
      </x:c>
      <x:c r="C99" t="str">
        <x:v>Deduções e impostos sobre vendas</x:v>
      </x:c>
      <x:c r="D99" t="str">
        <x:v>CONSOLIDADO</x:v>
      </x:c>
      <x:c r="E99" t="str">
        <x:v>BRL</x:v>
      </x:c>
      <x:c r="F99" s="26" t="n">
        <x:v>-0.565</x:v>
      </x:c>
      <x:c r="G99" t="str">
        <x:v>FECHADO</x:v>
      </x:c>
      <x:c r="H99" t="str">
        <x:v>ERP-ORBITA</x:v>
      </x:c>
    </x:row>
    <x:row r="100">
      <x:c r="A100" s="25" t="n">
        <x:v>45474</x:v>
      </x:c>
      <x:c r="B100" t="str">
        <x:v>3.01.03</x:v>
      </x:c>
      <x:c r="C100" t="str">
        <x:v>Receita líquida</x:v>
      </x:c>
      <x:c r="D100" t="str">
        <x:v>CONSOLIDADO</x:v>
      </x:c>
      <x:c r="E100" t="str">
        <x:v>BRL</x:v>
      </x:c>
      <x:c r="F100" s="26" t="n">
        <x:v>13.568</x:v>
      </x:c>
      <x:c r="G100" t="str">
        <x:v>FECHADO</x:v>
      </x:c>
      <x:c r="H100" t="str">
        <x:v>ERP-ORBITA</x:v>
      </x:c>
    </x:row>
    <x:row r="101">
      <x:c r="A101" s="25" t="n">
        <x:v>45474</x:v>
      </x:c>
      <x:c r="B101" t="str">
        <x:v>4.01.01</x:v>
      </x:c>
      <x:c r="C101" t="str">
        <x:v>Custo das mercadorias vendidas</x:v>
      </x:c>
      <x:c r="D101" t="str">
        <x:v>CONSOLIDADO</x:v>
      </x:c>
      <x:c r="E101" t="str">
        <x:v>BRL</x:v>
      </x:c>
      <x:c r="F101" s="26" t="n">
        <x:v>-9.213</x:v>
      </x:c>
      <x:c r="G101" t="str">
        <x:v>FECHADO</x:v>
      </x:c>
      <x:c r="H101" t="str">
        <x:v>ERP-ORBITA</x:v>
      </x:c>
    </x:row>
    <x:row r="102">
      <x:c r="A102" s="25" t="n">
        <x:v>45474</x:v>
      </x:c>
      <x:c r="B102" t="str">
        <x:v>3.02.01</x:v>
      </x:c>
      <x:c r="C102" t="str">
        <x:v>Lucro bruto</x:v>
      </x:c>
      <x:c r="D102" t="str">
        <x:v>CONSOLIDADO</x:v>
      </x:c>
      <x:c r="E102" t="str">
        <x:v>BRL</x:v>
      </x:c>
      <x:c r="F102" s="26" t="n">
        <x:v>4.355</x:v>
      </x:c>
      <x:c r="G102" t="str">
        <x:v>FECHADO</x:v>
      </x:c>
      <x:c r="H102" t="str">
        <x:v>ERP-ORBITA</x:v>
      </x:c>
    </x:row>
    <x:row r="103">
      <x:c r="A103" s="25" t="n">
        <x:v>45474</x:v>
      </x:c>
      <x:c r="B103" t="str">
        <x:v>4.02.01</x:v>
      </x:c>
      <x:c r="C103" t="str">
        <x:v>Pessoal</x:v>
      </x:c>
      <x:c r="D103" t="str">
        <x:v>CONSOLIDADO</x:v>
      </x:c>
      <x:c r="E103" t="str">
        <x:v>BRL</x:v>
      </x:c>
      <x:c r="F103" s="26" t="n">
        <x:v>-0.719</x:v>
      </x:c>
      <x:c r="G103" t="str">
        <x:v>FECHADO</x:v>
      </x:c>
      <x:c r="H103" t="str">
        <x:v>ERP-ORBITA</x:v>
      </x:c>
    </x:row>
    <x:row r="104">
      <x:c r="A104" s="25" t="n">
        <x:v>45474</x:v>
      </x:c>
      <x:c r="B104" t="str">
        <x:v>4.02.02</x:v>
      </x:c>
      <x:c r="C104" t="str">
        <x:v>Ocupação e utilidades</x:v>
      </x:c>
      <x:c r="D104" t="str">
        <x:v>CONSOLIDADO</x:v>
      </x:c>
      <x:c r="E104" t="str">
        <x:v>BRL</x:v>
      </x:c>
      <x:c r="F104" s="26" t="n">
        <x:v>-0.404</x:v>
      </x:c>
      <x:c r="G104" t="str">
        <x:v>FECHADO</x:v>
      </x:c>
      <x:c r="H104" t="str">
        <x:v>ERP-ORBITA</x:v>
      </x:c>
    </x:row>
    <x:row r="105">
      <x:c r="A105" s="25" t="n">
        <x:v>45474</x:v>
      </x:c>
      <x:c r="B105" t="str">
        <x:v>4.02.03</x:v>
      </x:c>
      <x:c r="C105" t="str">
        <x:v>Logística e tecnologia</x:v>
      </x:c>
      <x:c r="D105" t="str">
        <x:v>CONSOLIDADO</x:v>
      </x:c>
      <x:c r="E105" t="str">
        <x:v>BRL</x:v>
      </x:c>
      <x:c r="F105" s="26" t="n">
        <x:v>-0.404</x:v>
      </x:c>
      <x:c r="G105" t="str">
        <x:v>FECHADO</x:v>
      </x:c>
      <x:c r="H105" t="str">
        <x:v>ERP-ORBITA</x:v>
      </x:c>
    </x:row>
    <x:row r="106">
      <x:c r="A106" s="25" t="n">
        <x:v>45474</x:v>
      </x:c>
      <x:c r="B106" t="str">
        <x:v>4.02.04</x:v>
      </x:c>
      <x:c r="C106" t="str">
        <x:v>Despesas comerciais e administrativas</x:v>
      </x:c>
      <x:c r="D106" t="str">
        <x:v>CONSOLIDADO</x:v>
      </x:c>
      <x:c r="E106" t="str">
        <x:v>BRL</x:v>
      </x:c>
      <x:c r="F106" s="26" t="n">
        <x:v>-0.719</x:v>
      </x:c>
      <x:c r="G106" t="str">
        <x:v>FECHADO</x:v>
      </x:c>
      <x:c r="H106" t="str">
        <x:v>ERP-ORBITA</x:v>
      </x:c>
    </x:row>
    <x:row r="107">
      <x:c r="A107" s="25" t="n">
        <x:v>45474</x:v>
      </x:c>
      <x:c r="B107" t="str">
        <x:v>3.03.01</x:v>
      </x:c>
      <x:c r="C107" t="str">
        <x:v>EBITDA</x:v>
      </x:c>
      <x:c r="D107" t="str">
        <x:v>CONSOLIDADO</x:v>
      </x:c>
      <x:c r="E107" t="str">
        <x:v>BRL</x:v>
      </x:c>
      <x:c r="F107" s="26" t="n">
        <x:v>2.11</x:v>
      </x:c>
      <x:c r="G107" t="str">
        <x:v>FECHADO</x:v>
      </x:c>
      <x:c r="H107" t="str">
        <x:v>ERP-ORBITA</x:v>
      </x:c>
    </x:row>
    <x:row r="108">
      <x:c r="A108" s="25" t="n">
        <x:v>45474</x:v>
      </x:c>
      <x:c r="B108" t="str">
        <x:v>4.03.01</x:v>
      </x:c>
      <x:c r="C108" t="str">
        <x:v>Depreciação e amortização</x:v>
      </x:c>
      <x:c r="D108" t="str">
        <x:v>CONSOLIDADO</x:v>
      </x:c>
      <x:c r="E108" t="str">
        <x:v>BRL</x:v>
      </x:c>
      <x:c r="F108" s="26" t="n">
        <x:v>-0.38</x:v>
      </x:c>
      <x:c r="G108" t="str">
        <x:v>FECHADO</x:v>
      </x:c>
      <x:c r="H108" t="str">
        <x:v>ERP-ORBITA</x:v>
      </x:c>
    </x:row>
    <x:row r="109">
      <x:c r="A109" s="25" t="n">
        <x:v>45474</x:v>
      </x:c>
      <x:c r="B109" t="str">
        <x:v>3.04.01</x:v>
      </x:c>
      <x:c r="C109" t="str">
        <x:v>EBIT</x:v>
      </x:c>
      <x:c r="D109" t="str">
        <x:v>CONSOLIDADO</x:v>
      </x:c>
      <x:c r="E109" t="str">
        <x:v>BRL</x:v>
      </x:c>
      <x:c r="F109" s="26" t="n">
        <x:v>1.73</x:v>
      </x:c>
      <x:c r="G109" t="str">
        <x:v>FECHADO</x:v>
      </x:c>
      <x:c r="H109" t="str">
        <x:v>ERP-ORBITA</x:v>
      </x:c>
    </x:row>
    <x:row r="110">
      <x:c r="A110" s="25" t="n">
        <x:v>45474</x:v>
      </x:c>
      <x:c r="B110" t="str">
        <x:v>4.04.01</x:v>
      </x:c>
      <x:c r="C110" t="str">
        <x:v>Resultado financeiro líquido</x:v>
      </x:c>
      <x:c r="D110" t="str">
        <x:v>CONSOLIDADO</x:v>
      </x:c>
      <x:c r="E110" t="str">
        <x:v>BRL</x:v>
      </x:c>
      <x:c r="F110" s="26" t="n">
        <x:v>-0.638</x:v>
      </x:c>
      <x:c r="G110" t="str">
        <x:v>FECHADO</x:v>
      </x:c>
      <x:c r="H110" t="str">
        <x:v>ERP-ORBITA</x:v>
      </x:c>
    </x:row>
    <x:row r="111">
      <x:c r="A111" s="25" t="n">
        <x:v>45474</x:v>
      </x:c>
      <x:c r="B111" t="str">
        <x:v>3.05.01</x:v>
      </x:c>
      <x:c r="C111" t="str">
        <x:v>Lucro antes de IR/CS</x:v>
      </x:c>
      <x:c r="D111" t="str">
        <x:v>CONSOLIDADO</x:v>
      </x:c>
      <x:c r="E111" t="str">
        <x:v>BRL</x:v>
      </x:c>
      <x:c r="F111" s="26" t="n">
        <x:v>1.092</x:v>
      </x:c>
      <x:c r="G111" t="str">
        <x:v>FECHADO</x:v>
      </x:c>
      <x:c r="H111" t="str">
        <x:v>ERP-ORBITA</x:v>
      </x:c>
    </x:row>
    <x:row r="112">
      <x:c r="A112" s="25" t="n">
        <x:v>45474</x:v>
      </x:c>
      <x:c r="B112" t="str">
        <x:v>4.05.01</x:v>
      </x:c>
      <x:c r="C112" t="str">
        <x:v>IRPJ e CSLL</x:v>
      </x:c>
      <x:c r="D112" t="str">
        <x:v>CONSOLIDADO</x:v>
      </x:c>
      <x:c r="E112" t="str">
        <x:v>BRL</x:v>
      </x:c>
      <x:c r="F112" s="26" t="n">
        <x:v>-0.371</x:v>
      </x:c>
      <x:c r="G112" t="str">
        <x:v>FECHADO</x:v>
      </x:c>
      <x:c r="H112" t="str">
        <x:v>ERP-ORBITA</x:v>
      </x:c>
    </x:row>
    <x:row r="113">
      <x:c r="A113" s="25" t="n">
        <x:v>45474</x:v>
      </x:c>
      <x:c r="B113" t="str">
        <x:v>3.06.01</x:v>
      </x:c>
      <x:c r="C113" t="str">
        <x:v>Lucro líquido</x:v>
      </x:c>
      <x:c r="D113" t="str">
        <x:v>CONSOLIDADO</x:v>
      </x:c>
      <x:c r="E113" t="str">
        <x:v>BRL</x:v>
      </x:c>
      <x:c r="F113" s="26" t="n">
        <x:v>0.721</x:v>
      </x:c>
      <x:c r="G113" t="str">
        <x:v>FECHADO</x:v>
      </x:c>
      <x:c r="H113" t="str">
        <x:v>ERP-ORBITA</x:v>
      </x:c>
    </x:row>
    <x:row r="114">
      <x:c r="A114" s="25" t="n">
        <x:v>45505</x:v>
      </x:c>
      <x:c r="B114" t="str">
        <x:v>3.01.01</x:v>
      </x:c>
      <x:c r="C114" t="str">
        <x:v>Receita bruta de vendas</x:v>
      </x:c>
      <x:c r="D114" t="str">
        <x:v>CONSOLIDADO</x:v>
      </x:c>
      <x:c r="E114" t="str">
        <x:v>BRL</x:v>
      </x:c>
      <x:c r="F114" s="26" t="n">
        <x:v>14.305</x:v>
      </x:c>
      <x:c r="G114" t="str">
        <x:v>FECHADO</x:v>
      </x:c>
      <x:c r="H114" t="str">
        <x:v>ERP-ORBITA</x:v>
      </x:c>
    </x:row>
    <x:row r="115">
      <x:c r="A115" s="25" t="n">
        <x:v>45505</x:v>
      </x:c>
      <x:c r="B115" t="str">
        <x:v>3.01.02</x:v>
      </x:c>
      <x:c r="C115" t="str">
        <x:v>Deduções e impostos sobre vendas</x:v>
      </x:c>
      <x:c r="D115" t="str">
        <x:v>CONSOLIDADO</x:v>
      </x:c>
      <x:c r="E115" t="str">
        <x:v>BRL</x:v>
      </x:c>
      <x:c r="F115" s="26" t="n">
        <x:v>-0.572</x:v>
      </x:c>
      <x:c r="G115" t="str">
        <x:v>FECHADO</x:v>
      </x:c>
      <x:c r="H115" t="str">
        <x:v>ERP-ORBITA</x:v>
      </x:c>
    </x:row>
    <x:row r="116">
      <x:c r="A116" s="25" t="n">
        <x:v>45505</x:v>
      </x:c>
      <x:c r="B116" t="str">
        <x:v>3.01.03</x:v>
      </x:c>
      <x:c r="C116" t="str">
        <x:v>Receita líquida</x:v>
      </x:c>
      <x:c r="D116" t="str">
        <x:v>CONSOLIDADO</x:v>
      </x:c>
      <x:c r="E116" t="str">
        <x:v>BRL</x:v>
      </x:c>
      <x:c r="F116" s="26" t="n">
        <x:v>13.733</x:v>
      </x:c>
      <x:c r="G116" t="str">
        <x:v>FECHADO</x:v>
      </x:c>
      <x:c r="H116" t="str">
        <x:v>ERP-ORBITA</x:v>
      </x:c>
    </x:row>
    <x:row r="117">
      <x:c r="A117" s="25" t="n">
        <x:v>45505</x:v>
      </x:c>
      <x:c r="B117" t="str">
        <x:v>4.01.01</x:v>
      </x:c>
      <x:c r="C117" t="str">
        <x:v>Custo das mercadorias vendidas</x:v>
      </x:c>
      <x:c r="D117" t="str">
        <x:v>CONSOLIDADO</x:v>
      </x:c>
      <x:c r="E117" t="str">
        <x:v>BRL</x:v>
      </x:c>
      <x:c r="F117" s="26" t="n">
        <x:v>-9.325</x:v>
      </x:c>
      <x:c r="G117" t="str">
        <x:v>FECHADO</x:v>
      </x:c>
      <x:c r="H117" t="str">
        <x:v>ERP-ORBITA</x:v>
      </x:c>
    </x:row>
    <x:row r="118">
      <x:c r="A118" s="25" t="n">
        <x:v>45505</x:v>
      </x:c>
      <x:c r="B118" t="str">
        <x:v>3.02.01</x:v>
      </x:c>
      <x:c r="C118" t="str">
        <x:v>Lucro bruto</x:v>
      </x:c>
      <x:c r="D118" t="str">
        <x:v>CONSOLIDADO</x:v>
      </x:c>
      <x:c r="E118" t="str">
        <x:v>BRL</x:v>
      </x:c>
      <x:c r="F118" s="26" t="n">
        <x:v>4.408</x:v>
      </x:c>
      <x:c r="G118" t="str">
        <x:v>FECHADO</x:v>
      </x:c>
      <x:c r="H118" t="str">
        <x:v>ERP-ORBITA</x:v>
      </x:c>
    </x:row>
    <x:row r="119">
      <x:c r="A119" s="25" t="n">
        <x:v>45505</x:v>
      </x:c>
      <x:c r="B119" t="str">
        <x:v>4.02.01</x:v>
      </x:c>
      <x:c r="C119" t="str">
        <x:v>Pessoal</x:v>
      </x:c>
      <x:c r="D119" t="str">
        <x:v>CONSOLIDADO</x:v>
      </x:c>
      <x:c r="E119" t="str">
        <x:v>BRL</x:v>
      </x:c>
      <x:c r="F119" s="26" t="n">
        <x:v>-0.72</x:v>
      </x:c>
      <x:c r="G119" t="str">
        <x:v>FECHADO</x:v>
      </x:c>
      <x:c r="H119" t="str">
        <x:v>ERP-ORBITA</x:v>
      </x:c>
    </x:row>
    <x:row r="120">
      <x:c r="A120" s="25" t="n">
        <x:v>45505</x:v>
      </x:c>
      <x:c r="B120" t="str">
        <x:v>4.02.02</x:v>
      </x:c>
      <x:c r="C120" t="str">
        <x:v>Ocupação e utilidades</x:v>
      </x:c>
      <x:c r="D120" t="str">
        <x:v>CONSOLIDADO</x:v>
      </x:c>
      <x:c r="E120" t="str">
        <x:v>BRL</x:v>
      </x:c>
      <x:c r="F120" s="26" t="n">
        <x:v>-0.405</x:v>
      </x:c>
      <x:c r="G120" t="str">
        <x:v>FECHADO</x:v>
      </x:c>
      <x:c r="H120" t="str">
        <x:v>ERP-ORBITA</x:v>
      </x:c>
    </x:row>
    <x:row r="121">
      <x:c r="A121" s="25" t="n">
        <x:v>45505</x:v>
      </x:c>
      <x:c r="B121" t="str">
        <x:v>4.02.03</x:v>
      </x:c>
      <x:c r="C121" t="str">
        <x:v>Logística e tecnologia</x:v>
      </x:c>
      <x:c r="D121" t="str">
        <x:v>CONSOLIDADO</x:v>
      </x:c>
      <x:c r="E121" t="str">
        <x:v>BRL</x:v>
      </x:c>
      <x:c r="F121" s="26" t="n">
        <x:v>-0.405</x:v>
      </x:c>
      <x:c r="G121" t="str">
        <x:v>FECHADO</x:v>
      </x:c>
      <x:c r="H121" t="str">
        <x:v>ERP-ORBITA</x:v>
      </x:c>
    </x:row>
    <x:row r="122">
      <x:c r="A122" s="25" t="n">
        <x:v>45505</x:v>
      </x:c>
      <x:c r="B122" t="str">
        <x:v>4.02.04</x:v>
      </x:c>
      <x:c r="C122" t="str">
        <x:v>Despesas comerciais e administrativas</x:v>
      </x:c>
      <x:c r="D122" t="str">
        <x:v>CONSOLIDADO</x:v>
      </x:c>
      <x:c r="E122" t="str">
        <x:v>BRL</x:v>
      </x:c>
      <x:c r="F122" s="26" t="n">
        <x:v>-0.72</x:v>
      </x:c>
      <x:c r="G122" t="str">
        <x:v>FECHADO</x:v>
      </x:c>
      <x:c r="H122" t="str">
        <x:v>ERP-ORBITA</x:v>
      </x:c>
    </x:row>
    <x:row r="123">
      <x:c r="A123" s="25" t="n">
        <x:v>45505</x:v>
      </x:c>
      <x:c r="B123" t="str">
        <x:v>3.03.01</x:v>
      </x:c>
      <x:c r="C123" t="str">
        <x:v>EBITDA</x:v>
      </x:c>
      <x:c r="D123" t="str">
        <x:v>CONSOLIDADO</x:v>
      </x:c>
      <x:c r="E123" t="str">
        <x:v>BRL</x:v>
      </x:c>
      <x:c r="F123" s="26" t="n">
        <x:v>2.157</x:v>
      </x:c>
      <x:c r="G123" t="str">
        <x:v>FECHADO</x:v>
      </x:c>
      <x:c r="H123" t="str">
        <x:v>ERP-ORBITA</x:v>
      </x:c>
    </x:row>
    <x:row r="124">
      <x:c r="A124" s="25" t="n">
        <x:v>45505</x:v>
      </x:c>
      <x:c r="B124" t="str">
        <x:v>4.03.01</x:v>
      </x:c>
      <x:c r="C124" t="str">
        <x:v>Depreciação e amortização</x:v>
      </x:c>
      <x:c r="D124" t="str">
        <x:v>CONSOLIDADO</x:v>
      </x:c>
      <x:c r="E124" t="str">
        <x:v>BRL</x:v>
      </x:c>
      <x:c r="F124" s="26" t="n">
        <x:v>-0.385</x:v>
      </x:c>
      <x:c r="G124" t="str">
        <x:v>FECHADO</x:v>
      </x:c>
      <x:c r="H124" t="str">
        <x:v>ERP-ORBITA</x:v>
      </x:c>
    </x:row>
    <x:row r="125">
      <x:c r="A125" s="25" t="n">
        <x:v>45505</x:v>
      </x:c>
      <x:c r="B125" t="str">
        <x:v>3.04.01</x:v>
      </x:c>
      <x:c r="C125" t="str">
        <x:v>EBIT</x:v>
      </x:c>
      <x:c r="D125" t="str">
        <x:v>CONSOLIDADO</x:v>
      </x:c>
      <x:c r="E125" t="str">
        <x:v>BRL</x:v>
      </x:c>
      <x:c r="F125" s="26" t="n">
        <x:v>1.772</x:v>
      </x:c>
      <x:c r="G125" t="str">
        <x:v>FECHADO</x:v>
      </x:c>
      <x:c r="H125" t="str">
        <x:v>ERP-ORBITA</x:v>
      </x:c>
    </x:row>
    <x:row r="126">
      <x:c r="A126" s="25" t="n">
        <x:v>45505</x:v>
      </x:c>
      <x:c r="B126" t="str">
        <x:v>4.04.01</x:v>
      </x:c>
      <x:c r="C126" t="str">
        <x:v>Resultado financeiro líquido</x:v>
      </x:c>
      <x:c r="D126" t="str">
        <x:v>CONSOLIDADO</x:v>
      </x:c>
      <x:c r="E126" t="str">
        <x:v>BRL</x:v>
      </x:c>
      <x:c r="F126" s="26" t="n">
        <x:v>-0.645</x:v>
      </x:c>
      <x:c r="G126" t="str">
        <x:v>FECHADO</x:v>
      </x:c>
      <x:c r="H126" t="str">
        <x:v>ERP-ORBITA</x:v>
      </x:c>
    </x:row>
    <x:row r="127">
      <x:c r="A127" s="25" t="n">
        <x:v>45505</x:v>
      </x:c>
      <x:c r="B127" t="str">
        <x:v>3.05.01</x:v>
      </x:c>
      <x:c r="C127" t="str">
        <x:v>Lucro antes de IR/CS</x:v>
      </x:c>
      <x:c r="D127" t="str">
        <x:v>CONSOLIDADO</x:v>
      </x:c>
      <x:c r="E127" t="str">
        <x:v>BRL</x:v>
      </x:c>
      <x:c r="F127" s="26" t="n">
        <x:v>1.127</x:v>
      </x:c>
      <x:c r="G127" t="str">
        <x:v>FECHADO</x:v>
      </x:c>
      <x:c r="H127" t="str">
        <x:v>ERP-ORBITA</x:v>
      </x:c>
    </x:row>
    <x:row r="128">
      <x:c r="A128" s="25" t="n">
        <x:v>45505</x:v>
      </x:c>
      <x:c r="B128" t="str">
        <x:v>4.05.01</x:v>
      </x:c>
      <x:c r="C128" t="str">
        <x:v>IRPJ e CSLL</x:v>
      </x:c>
      <x:c r="D128" t="str">
        <x:v>CONSOLIDADO</x:v>
      </x:c>
      <x:c r="E128" t="str">
        <x:v>BRL</x:v>
      </x:c>
      <x:c r="F128" s="26" t="n">
        <x:v>-0.383</x:v>
      </x:c>
      <x:c r="G128" t="str">
        <x:v>FECHADO</x:v>
      </x:c>
      <x:c r="H128" t="str">
        <x:v>ERP-ORBITA</x:v>
      </x:c>
    </x:row>
    <x:row r="129">
      <x:c r="A129" s="25" t="n">
        <x:v>45505</x:v>
      </x:c>
      <x:c r="B129" t="str">
        <x:v>3.06.01</x:v>
      </x:c>
      <x:c r="C129" t="str">
        <x:v>Lucro líquido</x:v>
      </x:c>
      <x:c r="D129" t="str">
        <x:v>CONSOLIDADO</x:v>
      </x:c>
      <x:c r="E129" t="str">
        <x:v>BRL</x:v>
      </x:c>
      <x:c r="F129" s="26" t="n">
        <x:v>0.744</x:v>
      </x:c>
      <x:c r="G129" t="str">
        <x:v>FECHADO</x:v>
      </x:c>
      <x:c r="H129" t="str">
        <x:v>ERP-ORBITA</x:v>
      </x:c>
    </x:row>
    <x:row r="130">
      <x:c r="A130" s="25" t="n">
        <x:v>45536</x:v>
      </x:c>
      <x:c r="B130" t="str">
        <x:v>3.01.01</x:v>
      </x:c>
      <x:c r="C130" t="str">
        <x:v>Receita bruta de vendas</x:v>
      </x:c>
      <x:c r="D130" t="str">
        <x:v>CONSOLIDADO</x:v>
      </x:c>
      <x:c r="E130" t="str">
        <x:v>BRL</x:v>
      </x:c>
      <x:c r="F130" s="26" t="n">
        <x:v>14.477</x:v>
      </x:c>
      <x:c r="G130" t="str">
        <x:v>FECHADO</x:v>
      </x:c>
      <x:c r="H130" t="str">
        <x:v>ERP-ORBITA</x:v>
      </x:c>
    </x:row>
    <x:row r="131">
      <x:c r="A131" s="25" t="n">
        <x:v>45536</x:v>
      </x:c>
      <x:c r="B131" t="str">
        <x:v>3.01.02</x:v>
      </x:c>
      <x:c r="C131" t="str">
        <x:v>Deduções e impostos sobre vendas</x:v>
      </x:c>
      <x:c r="D131" t="str">
        <x:v>CONSOLIDADO</x:v>
      </x:c>
      <x:c r="E131" t="str">
        <x:v>BRL</x:v>
      </x:c>
      <x:c r="F131" s="26" t="n">
        <x:v>-0.579</x:v>
      </x:c>
      <x:c r="G131" t="str">
        <x:v>FECHADO</x:v>
      </x:c>
      <x:c r="H131" t="str">
        <x:v>ERP-ORBITA</x:v>
      </x:c>
    </x:row>
    <x:row r="132">
      <x:c r="A132" s="25" t="n">
        <x:v>45536</x:v>
      </x:c>
      <x:c r="B132" t="str">
        <x:v>3.01.03</x:v>
      </x:c>
      <x:c r="C132" t="str">
        <x:v>Receita líquida</x:v>
      </x:c>
      <x:c r="D132" t="str">
        <x:v>CONSOLIDADO</x:v>
      </x:c>
      <x:c r="E132" t="str">
        <x:v>BRL</x:v>
      </x:c>
      <x:c r="F132" s="26" t="n">
        <x:v>13.898</x:v>
      </x:c>
      <x:c r="G132" t="str">
        <x:v>FECHADO</x:v>
      </x:c>
      <x:c r="H132" t="str">
        <x:v>ERP-ORBITA</x:v>
      </x:c>
    </x:row>
    <x:row r="133">
      <x:c r="A133" s="25" t="n">
        <x:v>45536</x:v>
      </x:c>
      <x:c r="B133" t="str">
        <x:v>4.01.01</x:v>
      </x:c>
      <x:c r="C133" t="str">
        <x:v>Custo das mercadorias vendidas</x:v>
      </x:c>
      <x:c r="D133" t="str">
        <x:v>CONSOLIDADO</x:v>
      </x:c>
      <x:c r="E133" t="str">
        <x:v>BRL</x:v>
      </x:c>
      <x:c r="F133" s="26" t="n">
        <x:v>-9.437</x:v>
      </x:c>
      <x:c r="G133" t="str">
        <x:v>FECHADO</x:v>
      </x:c>
      <x:c r="H133" t="str">
        <x:v>ERP-ORBITA</x:v>
      </x:c>
    </x:row>
    <x:row r="134">
      <x:c r="A134" s="25" t="n">
        <x:v>45536</x:v>
      </x:c>
      <x:c r="B134" t="str">
        <x:v>3.02.01</x:v>
      </x:c>
      <x:c r="C134" t="str">
        <x:v>Lucro bruto</x:v>
      </x:c>
      <x:c r="D134" t="str">
        <x:v>CONSOLIDADO</x:v>
      </x:c>
      <x:c r="E134" t="str">
        <x:v>BRL</x:v>
      </x:c>
      <x:c r="F134" s="26" t="n">
        <x:v>4.461</x:v>
      </x:c>
      <x:c r="G134" t="str">
        <x:v>FECHADO</x:v>
      </x:c>
      <x:c r="H134" t="str">
        <x:v>ERP-ORBITA</x:v>
      </x:c>
    </x:row>
    <x:row r="135">
      <x:c r="A135" s="25" t="n">
        <x:v>45536</x:v>
      </x:c>
      <x:c r="B135" t="str">
        <x:v>4.02.01</x:v>
      </x:c>
      <x:c r="C135" t="str">
        <x:v>Pessoal</x:v>
      </x:c>
      <x:c r="D135" t="str">
        <x:v>CONSOLIDADO</x:v>
      </x:c>
      <x:c r="E135" t="str">
        <x:v>BRL</x:v>
      </x:c>
      <x:c r="F135" s="26" t="n">
        <x:v>-0.722</x:v>
      </x:c>
      <x:c r="G135" t="str">
        <x:v>FECHADO</x:v>
      </x:c>
      <x:c r="H135" t="str">
        <x:v>ERP-ORBITA</x:v>
      </x:c>
    </x:row>
    <x:row r="136">
      <x:c r="A136" s="25" t="n">
        <x:v>45536</x:v>
      </x:c>
      <x:c r="B136" t="str">
        <x:v>4.02.02</x:v>
      </x:c>
      <x:c r="C136" t="str">
        <x:v>Ocupação e utilidades</x:v>
      </x:c>
      <x:c r="D136" t="str">
        <x:v>CONSOLIDADO</x:v>
      </x:c>
      <x:c r="E136" t="str">
        <x:v>BRL</x:v>
      </x:c>
      <x:c r="F136" s="26" t="n">
        <x:v>-0.406</x:v>
      </x:c>
      <x:c r="G136" t="str">
        <x:v>FECHADO</x:v>
      </x:c>
      <x:c r="H136" t="str">
        <x:v>ERP-ORBITA</x:v>
      </x:c>
    </x:row>
    <x:row r="137">
      <x:c r="A137" s="25" t="n">
        <x:v>45536</x:v>
      </x:c>
      <x:c r="B137" t="str">
        <x:v>4.02.03</x:v>
      </x:c>
      <x:c r="C137" t="str">
        <x:v>Logística e tecnologia</x:v>
      </x:c>
      <x:c r="D137" t="str">
        <x:v>CONSOLIDADO</x:v>
      </x:c>
      <x:c r="E137" t="str">
        <x:v>BRL</x:v>
      </x:c>
      <x:c r="F137" s="26" t="n">
        <x:v>-0.406</x:v>
      </x:c>
      <x:c r="G137" t="str">
        <x:v>FECHADO</x:v>
      </x:c>
      <x:c r="H137" t="str">
        <x:v>ERP-ORBITA</x:v>
      </x:c>
    </x:row>
    <x:row r="138">
      <x:c r="A138" s="25" t="n">
        <x:v>45536</x:v>
      </x:c>
      <x:c r="B138" t="str">
        <x:v>4.02.04</x:v>
      </x:c>
      <x:c r="C138" t="str">
        <x:v>Despesas comerciais e administrativas</x:v>
      </x:c>
      <x:c r="D138" t="str">
        <x:v>CONSOLIDADO</x:v>
      </x:c>
      <x:c r="E138" t="str">
        <x:v>BRL</x:v>
      </x:c>
      <x:c r="F138" s="26" t="n">
        <x:v>-0.722</x:v>
      </x:c>
      <x:c r="G138" t="str">
        <x:v>FECHADO</x:v>
      </x:c>
      <x:c r="H138" t="str">
        <x:v>ERP-ORBITA</x:v>
      </x:c>
    </x:row>
    <x:row r="139">
      <x:c r="A139" s="25" t="n">
        <x:v>45536</x:v>
      </x:c>
      <x:c r="B139" t="str">
        <x:v>3.03.01</x:v>
      </x:c>
      <x:c r="C139" t="str">
        <x:v>EBITDA</x:v>
      </x:c>
      <x:c r="D139" t="str">
        <x:v>CONSOLIDADO</x:v>
      </x:c>
      <x:c r="E139" t="str">
        <x:v>BRL</x:v>
      </x:c>
      <x:c r="F139" s="26" t="n">
        <x:v>2.205</x:v>
      </x:c>
      <x:c r="G139" t="str">
        <x:v>FECHADO</x:v>
      </x:c>
      <x:c r="H139" t="str">
        <x:v>ERP-ORBITA</x:v>
      </x:c>
    </x:row>
    <x:row r="140">
      <x:c r="A140" s="25" t="n">
        <x:v>45536</x:v>
      </x:c>
      <x:c r="B140" t="str">
        <x:v>4.03.01</x:v>
      </x:c>
      <x:c r="C140" t="str">
        <x:v>Depreciação e amortização</x:v>
      </x:c>
      <x:c r="D140" t="str">
        <x:v>CONSOLIDADO</x:v>
      </x:c>
      <x:c r="E140" t="str">
        <x:v>BRL</x:v>
      </x:c>
      <x:c r="F140" s="26" t="n">
        <x:v>-0.389</x:v>
      </x:c>
      <x:c r="G140" t="str">
        <x:v>FECHADO</x:v>
      </x:c>
      <x:c r="H140" t="str">
        <x:v>ERP-ORBITA</x:v>
      </x:c>
    </x:row>
    <x:row r="141">
      <x:c r="A141" s="25" t="n">
        <x:v>45536</x:v>
      </x:c>
      <x:c r="B141" t="str">
        <x:v>3.04.01</x:v>
      </x:c>
      <x:c r="C141" t="str">
        <x:v>EBIT</x:v>
      </x:c>
      <x:c r="D141" t="str">
        <x:v>CONSOLIDADO</x:v>
      </x:c>
      <x:c r="E141" t="str">
        <x:v>BRL</x:v>
      </x:c>
      <x:c r="F141" s="26" t="n">
        <x:v>1.816</x:v>
      </x:c>
      <x:c r="G141" t="str">
        <x:v>FECHADO</x:v>
      </x:c>
      <x:c r="H141" t="str">
        <x:v>ERP-ORBITA</x:v>
      </x:c>
    </x:row>
    <x:row r="142">
      <x:c r="A142" s="25" t="n">
        <x:v>45536</x:v>
      </x:c>
      <x:c r="B142" t="str">
        <x:v>4.04.01</x:v>
      </x:c>
      <x:c r="C142" t="str">
        <x:v>Resultado financeiro líquido</x:v>
      </x:c>
      <x:c r="D142" t="str">
        <x:v>CONSOLIDADO</x:v>
      </x:c>
      <x:c r="E142" t="str">
        <x:v>BRL</x:v>
      </x:c>
      <x:c r="F142" s="26" t="n">
        <x:v>-0.653</x:v>
      </x:c>
      <x:c r="G142" t="str">
        <x:v>FECHADO</x:v>
      </x:c>
      <x:c r="H142" t="str">
        <x:v>ERP-ORBITA</x:v>
      </x:c>
    </x:row>
    <x:row r="143">
      <x:c r="A143" s="25" t="n">
        <x:v>45536</x:v>
      </x:c>
      <x:c r="B143" t="str">
        <x:v>3.05.01</x:v>
      </x:c>
      <x:c r="C143" t="str">
        <x:v>Lucro antes de IR/CS</x:v>
      </x:c>
      <x:c r="D143" t="str">
        <x:v>CONSOLIDADO</x:v>
      </x:c>
      <x:c r="E143" t="str">
        <x:v>BRL</x:v>
      </x:c>
      <x:c r="F143" s="26" t="n">
        <x:v>1.163</x:v>
      </x:c>
      <x:c r="G143" t="str">
        <x:v>FECHADO</x:v>
      </x:c>
      <x:c r="H143" t="str">
        <x:v>ERP-ORBITA</x:v>
      </x:c>
    </x:row>
    <x:row r="144">
      <x:c r="A144" s="25" t="n">
        <x:v>45536</x:v>
      </x:c>
      <x:c r="B144" t="str">
        <x:v>4.05.01</x:v>
      </x:c>
      <x:c r="C144" t="str">
        <x:v>IRPJ e CSLL</x:v>
      </x:c>
      <x:c r="D144" t="str">
        <x:v>CONSOLIDADO</x:v>
      </x:c>
      <x:c r="E144" t="str">
        <x:v>BRL</x:v>
      </x:c>
      <x:c r="F144" s="26" t="n">
        <x:v>-0.395</x:v>
      </x:c>
      <x:c r="G144" t="str">
        <x:v>FECHADO</x:v>
      </x:c>
      <x:c r="H144" t="str">
        <x:v>ERP-ORBITA</x:v>
      </x:c>
    </x:row>
    <x:row r="145">
      <x:c r="A145" s="25" t="n">
        <x:v>45536</x:v>
      </x:c>
      <x:c r="B145" t="str">
        <x:v>3.06.01</x:v>
      </x:c>
      <x:c r="C145" t="str">
        <x:v>Lucro líquido</x:v>
      </x:c>
      <x:c r="D145" t="str">
        <x:v>CONSOLIDADO</x:v>
      </x:c>
      <x:c r="E145" t="str">
        <x:v>BRL</x:v>
      </x:c>
      <x:c r="F145" s="26" t="n">
        <x:v>0.767</x:v>
      </x:c>
      <x:c r="G145" t="str">
        <x:v>FECHADO</x:v>
      </x:c>
      <x:c r="H145" t="str">
        <x:v>ERP-ORBITA</x:v>
      </x:c>
    </x:row>
    <x:row r="146">
      <x:c r="A146" s="25" t="n">
        <x:v>45566</x:v>
      </x:c>
      <x:c r="B146" t="str">
        <x:v>3.01.01</x:v>
      </x:c>
      <x:c r="C146" t="str">
        <x:v>Receita bruta de vendas</x:v>
      </x:c>
      <x:c r="D146" t="str">
        <x:v>CONSOLIDADO</x:v>
      </x:c>
      <x:c r="E146" t="str">
        <x:v>BRL</x:v>
      </x:c>
      <x:c r="F146" s="26" t="n">
        <x:v>14.822</x:v>
      </x:c>
      <x:c r="G146" t="str">
        <x:v>FECHADO</x:v>
      </x:c>
      <x:c r="H146" t="str">
        <x:v>ERP-ORBITA</x:v>
      </x:c>
    </x:row>
    <x:row r="147">
      <x:c r="A147" s="25" t="n">
        <x:v>45566</x:v>
      </x:c>
      <x:c r="B147" t="str">
        <x:v>3.01.02</x:v>
      </x:c>
      <x:c r="C147" t="str">
        <x:v>Deduções e impostos sobre vendas</x:v>
      </x:c>
      <x:c r="D147" t="str">
        <x:v>CONSOLIDADO</x:v>
      </x:c>
      <x:c r="E147" t="str">
        <x:v>BRL</x:v>
      </x:c>
      <x:c r="F147" s="26" t="n">
        <x:v>-0.593</x:v>
      </x:c>
      <x:c r="G147" t="str">
        <x:v>FECHADO</x:v>
      </x:c>
      <x:c r="H147" t="str">
        <x:v>ERP-ORBITA</x:v>
      </x:c>
    </x:row>
    <x:row r="148">
      <x:c r="A148" s="25" t="n">
        <x:v>45566</x:v>
      </x:c>
      <x:c r="B148" t="str">
        <x:v>3.01.03</x:v>
      </x:c>
      <x:c r="C148" t="str">
        <x:v>Receita líquida</x:v>
      </x:c>
      <x:c r="D148" t="str">
        <x:v>CONSOLIDADO</x:v>
      </x:c>
      <x:c r="E148" t="str">
        <x:v>BRL</x:v>
      </x:c>
      <x:c r="F148" s="26" t="n">
        <x:v>14.229</x:v>
      </x:c>
      <x:c r="G148" t="str">
        <x:v>FECHADO</x:v>
      </x:c>
      <x:c r="H148" t="str">
        <x:v>ERP-ORBITA</x:v>
      </x:c>
    </x:row>
    <x:row r="149">
      <x:c r="A149" s="25" t="n">
        <x:v>45566</x:v>
      </x:c>
      <x:c r="B149" t="str">
        <x:v>4.01.01</x:v>
      </x:c>
      <x:c r="C149" t="str">
        <x:v>Custo das mercadorias vendidas</x:v>
      </x:c>
      <x:c r="D149" t="str">
        <x:v>CONSOLIDADO</x:v>
      </x:c>
      <x:c r="E149" t="str">
        <x:v>BRL</x:v>
      </x:c>
      <x:c r="F149" s="26" t="n">
        <x:v>-9.661</x:v>
      </x:c>
      <x:c r="G149" t="str">
        <x:v>FECHADO</x:v>
      </x:c>
      <x:c r="H149" t="str">
        <x:v>ERP-ORBITA</x:v>
      </x:c>
    </x:row>
    <x:row r="150">
      <x:c r="A150" s="25" t="n">
        <x:v>45566</x:v>
      </x:c>
      <x:c r="B150" t="str">
        <x:v>3.02.01</x:v>
      </x:c>
      <x:c r="C150" t="str">
        <x:v>Lucro bruto</x:v>
      </x:c>
      <x:c r="D150" t="str">
        <x:v>CONSOLIDADO</x:v>
      </x:c>
      <x:c r="E150" t="str">
        <x:v>BRL</x:v>
      </x:c>
      <x:c r="F150" s="26" t="n">
        <x:v>4.568</x:v>
      </x:c>
      <x:c r="G150" t="str">
        <x:v>FECHADO</x:v>
      </x:c>
      <x:c r="H150" t="str">
        <x:v>ERP-ORBITA</x:v>
      </x:c>
    </x:row>
    <x:row r="151">
      <x:c r="A151" s="25" t="n">
        <x:v>45566</x:v>
      </x:c>
      <x:c r="B151" t="str">
        <x:v>4.02.01</x:v>
      </x:c>
      <x:c r="C151" t="str">
        <x:v>Pessoal</x:v>
      </x:c>
      <x:c r="D151" t="str">
        <x:v>CONSOLIDADO</x:v>
      </x:c>
      <x:c r="E151" t="str">
        <x:v>BRL</x:v>
      </x:c>
      <x:c r="F151" s="26" t="n">
        <x:v>-0.732</x:v>
      </x:c>
      <x:c r="G151" t="str">
        <x:v>FECHADO</x:v>
      </x:c>
      <x:c r="H151" t="str">
        <x:v>ERP-ORBITA</x:v>
      </x:c>
    </x:row>
    <x:row r="152">
      <x:c r="A152" s="25" t="n">
        <x:v>45566</x:v>
      </x:c>
      <x:c r="B152" t="str">
        <x:v>4.02.02</x:v>
      </x:c>
      <x:c r="C152" t="str">
        <x:v>Ocupação e utilidades</x:v>
      </x:c>
      <x:c r="D152" t="str">
        <x:v>CONSOLIDADO</x:v>
      </x:c>
      <x:c r="E152" t="str">
        <x:v>BRL</x:v>
      </x:c>
      <x:c r="F152" s="26" t="n">
        <x:v>-0.412</x:v>
      </x:c>
      <x:c r="G152" t="str">
        <x:v>FECHADO</x:v>
      </x:c>
      <x:c r="H152" t="str">
        <x:v>ERP-ORBITA</x:v>
      </x:c>
    </x:row>
    <x:row r="153">
      <x:c r="A153" s="25" t="n">
        <x:v>45566</x:v>
      </x:c>
      <x:c r="B153" t="str">
        <x:v>4.02.03</x:v>
      </x:c>
      <x:c r="C153" t="str">
        <x:v>Logística e tecnologia</x:v>
      </x:c>
      <x:c r="D153" t="str">
        <x:v>CONSOLIDADO</x:v>
      </x:c>
      <x:c r="E153" t="str">
        <x:v>BRL</x:v>
      </x:c>
      <x:c r="F153" s="26" t="n">
        <x:v>-0.412</x:v>
      </x:c>
      <x:c r="G153" t="str">
        <x:v>FECHADO</x:v>
      </x:c>
      <x:c r="H153" t="str">
        <x:v>ERP-ORBITA</x:v>
      </x:c>
    </x:row>
    <x:row r="154">
      <x:c r="A154" s="25" t="n">
        <x:v>45566</x:v>
      </x:c>
      <x:c r="B154" t="str">
        <x:v>4.02.04</x:v>
      </x:c>
      <x:c r="C154" t="str">
        <x:v>Despesas comerciais e administrativas</x:v>
      </x:c>
      <x:c r="D154" t="str">
        <x:v>CONSOLIDADO</x:v>
      </x:c>
      <x:c r="E154" t="str">
        <x:v>BRL</x:v>
      </x:c>
      <x:c r="F154" s="26" t="n">
        <x:v>-0.732</x:v>
      </x:c>
      <x:c r="G154" t="str">
        <x:v>FECHADO</x:v>
      </x:c>
      <x:c r="H154" t="str">
        <x:v>ERP-ORBITA</x:v>
      </x:c>
    </x:row>
    <x:row r="155">
      <x:c r="A155" s="25" t="n">
        <x:v>45566</x:v>
      </x:c>
      <x:c r="B155" t="str">
        <x:v>3.03.01</x:v>
      </x:c>
      <x:c r="C155" t="str">
        <x:v>EBITDA</x:v>
      </x:c>
      <x:c r="D155" t="str">
        <x:v>CONSOLIDADO</x:v>
      </x:c>
      <x:c r="E155" t="str">
        <x:v>BRL</x:v>
      </x:c>
      <x:c r="F155" s="26" t="n">
        <x:v>2.28</x:v>
      </x:c>
      <x:c r="G155" t="str">
        <x:v>FECHADO</x:v>
      </x:c>
      <x:c r="H155" t="str">
        <x:v>ERP-ORBITA</x:v>
      </x:c>
    </x:row>
    <x:row r="156">
      <x:c r="A156" s="25" t="n">
        <x:v>45566</x:v>
      </x:c>
      <x:c r="B156" t="str">
        <x:v>4.03.01</x:v>
      </x:c>
      <x:c r="C156" t="str">
        <x:v>Depreciação e amortização</x:v>
      </x:c>
      <x:c r="D156" t="str">
        <x:v>CONSOLIDADO</x:v>
      </x:c>
      <x:c r="E156" t="str">
        <x:v>BRL</x:v>
      </x:c>
      <x:c r="F156" s="26" t="n">
        <x:v>-0.398</x:v>
      </x:c>
      <x:c r="G156" t="str">
        <x:v>FECHADO</x:v>
      </x:c>
      <x:c r="H156" t="str">
        <x:v>ERP-ORBITA</x:v>
      </x:c>
    </x:row>
    <x:row r="157">
      <x:c r="A157" s="25" t="n">
        <x:v>45566</x:v>
      </x:c>
      <x:c r="B157" t="str">
        <x:v>3.04.01</x:v>
      </x:c>
      <x:c r="C157" t="str">
        <x:v>EBIT</x:v>
      </x:c>
      <x:c r="D157" t="str">
        <x:v>CONSOLIDADO</x:v>
      </x:c>
      <x:c r="E157" t="str">
        <x:v>BRL</x:v>
      </x:c>
      <x:c r="F157" s="26" t="n">
        <x:v>1.882</x:v>
      </x:c>
      <x:c r="G157" t="str">
        <x:v>FECHADO</x:v>
      </x:c>
      <x:c r="H157" t="str">
        <x:v>ERP-ORBITA</x:v>
      </x:c>
    </x:row>
    <x:row r="158">
      <x:c r="A158" s="25" t="n">
        <x:v>45566</x:v>
      </x:c>
      <x:c r="B158" t="str">
        <x:v>4.04.01</x:v>
      </x:c>
      <x:c r="C158" t="str">
        <x:v>Resultado financeiro líquido</x:v>
      </x:c>
      <x:c r="D158" t="str">
        <x:v>CONSOLIDADO</x:v>
      </x:c>
      <x:c r="E158" t="str">
        <x:v>BRL</x:v>
      </x:c>
      <x:c r="F158" s="26" t="n">
        <x:v>-0.669</x:v>
      </x:c>
      <x:c r="G158" t="str">
        <x:v>FECHADO</x:v>
      </x:c>
      <x:c r="H158" t="str">
        <x:v>ERP-ORBITA</x:v>
      </x:c>
    </x:row>
    <x:row r="159">
      <x:c r="A159" s="25" t="n">
        <x:v>45566</x:v>
      </x:c>
      <x:c r="B159" t="str">
        <x:v>3.05.01</x:v>
      </x:c>
      <x:c r="C159" t="str">
        <x:v>Lucro antes de IR/CS</x:v>
      </x:c>
      <x:c r="D159" t="str">
        <x:v>CONSOLIDADO</x:v>
      </x:c>
      <x:c r="E159" t="str">
        <x:v>BRL</x:v>
      </x:c>
      <x:c r="F159" s="26" t="n">
        <x:v>1.213</x:v>
      </x:c>
      <x:c r="G159" t="str">
        <x:v>FECHADO</x:v>
      </x:c>
      <x:c r="H159" t="str">
        <x:v>ERP-ORBITA</x:v>
      </x:c>
    </x:row>
    <x:row r="160">
      <x:c r="A160" s="25" t="n">
        <x:v>45566</x:v>
      </x:c>
      <x:c r="B160" t="str">
        <x:v>4.05.01</x:v>
      </x:c>
      <x:c r="C160" t="str">
        <x:v>IRPJ e CSLL</x:v>
      </x:c>
      <x:c r="D160" t="str">
        <x:v>CONSOLIDADO</x:v>
      </x:c>
      <x:c r="E160" t="str">
        <x:v>BRL</x:v>
      </x:c>
      <x:c r="F160" s="26" t="n">
        <x:v>-0.412</x:v>
      </x:c>
      <x:c r="G160" t="str">
        <x:v>FECHADO</x:v>
      </x:c>
      <x:c r="H160" t="str">
        <x:v>ERP-ORBITA</x:v>
      </x:c>
    </x:row>
    <x:row r="161">
      <x:c r="A161" s="25" t="n">
        <x:v>45566</x:v>
      </x:c>
      <x:c r="B161" t="str">
        <x:v>3.06.01</x:v>
      </x:c>
      <x:c r="C161" t="str">
        <x:v>Lucro líquido</x:v>
      </x:c>
      <x:c r="D161" t="str">
        <x:v>CONSOLIDADO</x:v>
      </x:c>
      <x:c r="E161" t="str">
        <x:v>BRL</x:v>
      </x:c>
      <x:c r="F161" s="26" t="n">
        <x:v>0.8</x:v>
      </x:c>
      <x:c r="G161" t="str">
        <x:v>FECHADO</x:v>
      </x:c>
      <x:c r="H161" t="str">
        <x:v>ERP-ORBITA</x:v>
      </x:c>
    </x:row>
    <x:row r="162">
      <x:c r="A162" s="25" t="n">
        <x:v>45597</x:v>
      </x:c>
      <x:c r="B162" t="str">
        <x:v>3.01.01</x:v>
      </x:c>
      <x:c r="C162" t="str">
        <x:v>Receita bruta de vendas</x:v>
      </x:c>
      <x:c r="D162" t="str">
        <x:v>CONSOLIDADO</x:v>
      </x:c>
      <x:c r="E162" t="str">
        <x:v>BRL</x:v>
      </x:c>
      <x:c r="F162" s="26" t="n">
        <x:v>15.34</x:v>
      </x:c>
      <x:c r="G162" t="str">
        <x:v>FECHADO</x:v>
      </x:c>
      <x:c r="H162" t="str">
        <x:v>ERP-ORBITA</x:v>
      </x:c>
    </x:row>
    <x:row r="163">
      <x:c r="A163" s="25" t="n">
        <x:v>45597</x:v>
      </x:c>
      <x:c r="B163" t="str">
        <x:v>3.01.02</x:v>
      </x:c>
      <x:c r="C163" t="str">
        <x:v>Deduções e impostos sobre vendas</x:v>
      </x:c>
      <x:c r="D163" t="str">
        <x:v>CONSOLIDADO</x:v>
      </x:c>
      <x:c r="E163" t="str">
        <x:v>BRL</x:v>
      </x:c>
      <x:c r="F163" s="26" t="n">
        <x:v>-0.614</x:v>
      </x:c>
      <x:c r="G163" t="str">
        <x:v>FECHADO</x:v>
      </x:c>
      <x:c r="H163" t="str">
        <x:v>ERP-ORBITA</x:v>
      </x:c>
    </x:row>
    <x:row r="164">
      <x:c r="A164" s="25" t="n">
        <x:v>45597</x:v>
      </x:c>
      <x:c r="B164" t="str">
        <x:v>3.01.03</x:v>
      </x:c>
      <x:c r="C164" t="str">
        <x:v>Receita líquida</x:v>
      </x:c>
      <x:c r="D164" t="str">
        <x:v>CONSOLIDADO</x:v>
      </x:c>
      <x:c r="E164" t="str">
        <x:v>BRL</x:v>
      </x:c>
      <x:c r="F164" s="26" t="n">
        <x:v>14.726</x:v>
      </x:c>
      <x:c r="G164" t="str">
        <x:v>FECHADO</x:v>
      </x:c>
      <x:c r="H164" t="str">
        <x:v>ERP-ORBITA</x:v>
      </x:c>
    </x:row>
    <x:row r="165">
      <x:c r="A165" s="25" t="n">
        <x:v>45597</x:v>
      </x:c>
      <x:c r="B165" t="str">
        <x:v>4.01.01</x:v>
      </x:c>
      <x:c r="C165" t="str">
        <x:v>Custo das mercadorias vendidas</x:v>
      </x:c>
      <x:c r="D165" t="str">
        <x:v>CONSOLIDADO</x:v>
      </x:c>
      <x:c r="E165" t="str">
        <x:v>BRL</x:v>
      </x:c>
      <x:c r="F165" s="26" t="n">
        <x:v>-9.999</x:v>
      </x:c>
      <x:c r="G165" t="str">
        <x:v>FECHADO</x:v>
      </x:c>
      <x:c r="H165" t="str">
        <x:v>ERP-ORBITA</x:v>
      </x:c>
    </x:row>
    <x:row r="166">
      <x:c r="A166" s="25" t="n">
        <x:v>45597</x:v>
      </x:c>
      <x:c r="B166" t="str">
        <x:v>3.02.01</x:v>
      </x:c>
      <x:c r="C166" t="str">
        <x:v>Lucro bruto</x:v>
      </x:c>
      <x:c r="D166" t="str">
        <x:v>CONSOLIDADO</x:v>
      </x:c>
      <x:c r="E166" t="str">
        <x:v>BRL</x:v>
      </x:c>
      <x:c r="F166" s="26" t="n">
        <x:v>4.727</x:v>
      </x:c>
      <x:c r="G166" t="str">
        <x:v>FECHADO</x:v>
      </x:c>
      <x:c r="H166" t="str">
        <x:v>ERP-ORBITA</x:v>
      </x:c>
    </x:row>
    <x:row r="167">
      <x:c r="A167" s="25" t="n">
        <x:v>45597</x:v>
      </x:c>
      <x:c r="B167" t="str">
        <x:v>4.02.01</x:v>
      </x:c>
      <x:c r="C167" t="str">
        <x:v>Pessoal</x:v>
      </x:c>
      <x:c r="D167" t="str">
        <x:v>CONSOLIDADO</x:v>
      </x:c>
      <x:c r="E167" t="str">
        <x:v>BRL</x:v>
      </x:c>
      <x:c r="F167" s="26" t="n">
        <x:v>-0.75</x:v>
      </x:c>
      <x:c r="G167" t="str">
        <x:v>FECHADO</x:v>
      </x:c>
      <x:c r="H167" t="str">
        <x:v>ERP-ORBITA</x:v>
      </x:c>
    </x:row>
    <x:row r="168">
      <x:c r="A168" s="25" t="n">
        <x:v>45597</x:v>
      </x:c>
      <x:c r="B168" t="str">
        <x:v>4.02.02</x:v>
      </x:c>
      <x:c r="C168" t="str">
        <x:v>Ocupação e utilidades</x:v>
      </x:c>
      <x:c r="D168" t="str">
        <x:v>CONSOLIDADO</x:v>
      </x:c>
      <x:c r="E168" t="str">
        <x:v>BRL</x:v>
      </x:c>
      <x:c r="F168" s="26" t="n">
        <x:v>-0.422</x:v>
      </x:c>
      <x:c r="G168" t="str">
        <x:v>FECHADO</x:v>
      </x:c>
      <x:c r="H168" t="str">
        <x:v>ERP-ORBITA</x:v>
      </x:c>
    </x:row>
    <x:row r="169">
      <x:c r="A169" s="25" t="n">
        <x:v>45597</x:v>
      </x:c>
      <x:c r="B169" t="str">
        <x:v>4.02.03</x:v>
      </x:c>
      <x:c r="C169" t="str">
        <x:v>Logística e tecnologia</x:v>
      </x:c>
      <x:c r="D169" t="str">
        <x:v>CONSOLIDADO</x:v>
      </x:c>
      <x:c r="E169" t="str">
        <x:v>BRL</x:v>
      </x:c>
      <x:c r="F169" s="26" t="n">
        <x:v>-0.422</x:v>
      </x:c>
      <x:c r="G169" t="str">
        <x:v>FECHADO</x:v>
      </x:c>
      <x:c r="H169" t="str">
        <x:v>ERP-ORBITA</x:v>
      </x:c>
    </x:row>
    <x:row r="170">
      <x:c r="A170" s="25" t="n">
        <x:v>45597</x:v>
      </x:c>
      <x:c r="B170" t="str">
        <x:v>4.02.04</x:v>
      </x:c>
      <x:c r="C170" t="str">
        <x:v>Despesas comerciais e administrativas</x:v>
      </x:c>
      <x:c r="D170" t="str">
        <x:v>CONSOLIDADO</x:v>
      </x:c>
      <x:c r="E170" t="str">
        <x:v>BRL</x:v>
      </x:c>
      <x:c r="F170" s="26" t="n">
        <x:v>-0.75</x:v>
      </x:c>
      <x:c r="G170" t="str">
        <x:v>FECHADO</x:v>
      </x:c>
      <x:c r="H170" t="str">
        <x:v>ERP-ORBITA</x:v>
      </x:c>
    </x:row>
    <x:row r="171">
      <x:c r="A171" s="25" t="n">
        <x:v>45597</x:v>
      </x:c>
      <x:c r="B171" t="str">
        <x:v>3.03.01</x:v>
      </x:c>
      <x:c r="C171" t="str">
        <x:v>EBITDA</x:v>
      </x:c>
      <x:c r="D171" t="str">
        <x:v>CONSOLIDADO</x:v>
      </x:c>
      <x:c r="E171" t="str">
        <x:v>BRL</x:v>
      </x:c>
      <x:c r="F171" s="26" t="n">
        <x:v>2.382</x:v>
      </x:c>
      <x:c r="G171" t="str">
        <x:v>FECHADO</x:v>
      </x:c>
      <x:c r="H171" t="str">
        <x:v>ERP-ORBITA</x:v>
      </x:c>
    </x:row>
    <x:row r="172">
      <x:c r="A172" s="25" t="n">
        <x:v>45597</x:v>
      </x:c>
      <x:c r="B172" t="str">
        <x:v>4.03.01</x:v>
      </x:c>
      <x:c r="C172" t="str">
        <x:v>Depreciação e amortização</x:v>
      </x:c>
      <x:c r="D172" t="str">
        <x:v>CONSOLIDADO</x:v>
      </x:c>
      <x:c r="E172" t="str">
        <x:v>BRL</x:v>
      </x:c>
      <x:c r="F172" s="26" t="n">
        <x:v>-0.412</x:v>
      </x:c>
      <x:c r="G172" t="str">
        <x:v>FECHADO</x:v>
      </x:c>
      <x:c r="H172" t="str">
        <x:v>ERP-ORBITA</x:v>
      </x:c>
    </x:row>
    <x:row r="173">
      <x:c r="A173" s="25" t="n">
        <x:v>45597</x:v>
      </x:c>
      <x:c r="B173" t="str">
        <x:v>3.04.01</x:v>
      </x:c>
      <x:c r="C173" t="str">
        <x:v>EBIT</x:v>
      </x:c>
      <x:c r="D173" t="str">
        <x:v>CONSOLIDADO</x:v>
      </x:c>
      <x:c r="E173" t="str">
        <x:v>BRL</x:v>
      </x:c>
      <x:c r="F173" s="26" t="n">
        <x:v>1.97</x:v>
      </x:c>
      <x:c r="G173" t="str">
        <x:v>FECHADO</x:v>
      </x:c>
      <x:c r="H173" t="str">
        <x:v>ERP-ORBITA</x:v>
      </x:c>
    </x:row>
    <x:row r="174">
      <x:c r="A174" s="25" t="n">
        <x:v>45597</x:v>
      </x:c>
      <x:c r="B174" t="str">
        <x:v>4.04.01</x:v>
      </x:c>
      <x:c r="C174" t="str">
        <x:v>Resultado financeiro líquido</x:v>
      </x:c>
      <x:c r="D174" t="str">
        <x:v>CONSOLIDADO</x:v>
      </x:c>
      <x:c r="E174" t="str">
        <x:v>BRL</x:v>
      </x:c>
      <x:c r="F174" s="26" t="n">
        <x:v>-0.692</x:v>
      </x:c>
      <x:c r="G174" t="str">
        <x:v>FECHADO</x:v>
      </x:c>
      <x:c r="H174" t="str">
        <x:v>ERP-ORBITA</x:v>
      </x:c>
    </x:row>
    <x:row r="175">
      <x:c r="A175" s="25" t="n">
        <x:v>45597</x:v>
      </x:c>
      <x:c r="B175" t="str">
        <x:v>3.05.01</x:v>
      </x:c>
      <x:c r="C175" t="str">
        <x:v>Lucro antes de IR/CS</x:v>
      </x:c>
      <x:c r="D175" t="str">
        <x:v>CONSOLIDADO</x:v>
      </x:c>
      <x:c r="E175" t="str">
        <x:v>BRL</x:v>
      </x:c>
      <x:c r="F175" s="26" t="n">
        <x:v>1.278</x:v>
      </x:c>
      <x:c r="G175" t="str">
        <x:v>FECHADO</x:v>
      </x:c>
      <x:c r="H175" t="str">
        <x:v>ERP-ORBITA</x:v>
      </x:c>
    </x:row>
    <x:row r="176">
      <x:c r="A176" s="25" t="n">
        <x:v>45597</x:v>
      </x:c>
      <x:c r="B176" t="str">
        <x:v>4.05.01</x:v>
      </x:c>
      <x:c r="C176" t="str">
        <x:v>IRPJ e CSLL</x:v>
      </x:c>
      <x:c r="D176" t="str">
        <x:v>CONSOLIDADO</x:v>
      </x:c>
      <x:c r="E176" t="str">
        <x:v>BRL</x:v>
      </x:c>
      <x:c r="F176" s="26" t="n">
        <x:v>-0.434</x:v>
      </x:c>
      <x:c r="G176" t="str">
        <x:v>FECHADO</x:v>
      </x:c>
      <x:c r="H176" t="str">
        <x:v>ERP-ORBITA</x:v>
      </x:c>
    </x:row>
    <x:row r="177">
      <x:c r="A177" s="25" t="n">
        <x:v>45597</x:v>
      </x:c>
      <x:c r="B177" t="str">
        <x:v>3.06.01</x:v>
      </x:c>
      <x:c r="C177" t="str">
        <x:v>Lucro líquido</x:v>
      </x:c>
      <x:c r="D177" t="str">
        <x:v>CONSOLIDADO</x:v>
      </x:c>
      <x:c r="E177" t="str">
        <x:v>BRL</x:v>
      </x:c>
      <x:c r="F177" s="26" t="n">
        <x:v>0.843</x:v>
      </x:c>
      <x:c r="G177" t="str">
        <x:v>FECHADO</x:v>
      </x:c>
      <x:c r="H177" t="str">
        <x:v>ERP-ORBITA</x:v>
      </x:c>
    </x:row>
    <x:row r="178">
      <x:c r="A178" s="25" t="n">
        <x:v>45627</x:v>
      </x:c>
      <x:c r="B178" t="str">
        <x:v>3.01.01</x:v>
      </x:c>
      <x:c r="C178" t="str">
        <x:v>Receita bruta de vendas</x:v>
      </x:c>
      <x:c r="D178" t="str">
        <x:v>CONSOLIDADO</x:v>
      </x:c>
      <x:c r="E178" t="str">
        <x:v>BRL</x:v>
      </x:c>
      <x:c r="F178" s="26" t="n">
        <x:v>17.925</x:v>
      </x:c>
      <x:c r="G178" t="str">
        <x:v>FECHADO</x:v>
      </x:c>
      <x:c r="H178" t="str">
        <x:v>ERP-ORBITA</x:v>
      </x:c>
    </x:row>
    <x:row r="179">
      <x:c r="A179" s="25" t="n">
        <x:v>45627</x:v>
      </x:c>
      <x:c r="B179" t="str">
        <x:v>3.01.02</x:v>
      </x:c>
      <x:c r="C179" t="str">
        <x:v>Deduções e impostos sobre vendas</x:v>
      </x:c>
      <x:c r="D179" t="str">
        <x:v>CONSOLIDADO</x:v>
      </x:c>
      <x:c r="E179" t="str">
        <x:v>BRL</x:v>
      </x:c>
      <x:c r="F179" s="26" t="n">
        <x:v>-0.717</x:v>
      </x:c>
      <x:c r="G179" t="str">
        <x:v>FECHADO</x:v>
      </x:c>
      <x:c r="H179" t="str">
        <x:v>ERP-ORBITA</x:v>
      </x:c>
    </x:row>
    <x:row r="180">
      <x:c r="A180" s="25" t="n">
        <x:v>45627</x:v>
      </x:c>
      <x:c r="B180" t="str">
        <x:v>3.01.03</x:v>
      </x:c>
      <x:c r="C180" t="str">
        <x:v>Receita líquida</x:v>
      </x:c>
      <x:c r="D180" t="str">
        <x:v>CONSOLIDADO</x:v>
      </x:c>
      <x:c r="E180" t="str">
        <x:v>BRL</x:v>
      </x:c>
      <x:c r="F180" s="26" t="n">
        <x:v>17.208</x:v>
      </x:c>
      <x:c r="G180" t="str">
        <x:v>FECHADO</x:v>
      </x:c>
      <x:c r="H180" t="str">
        <x:v>ERP-ORBITA</x:v>
      </x:c>
    </x:row>
    <x:row r="181">
      <x:c r="A181" s="25" t="n">
        <x:v>45627</x:v>
      </x:c>
      <x:c r="B181" t="str">
        <x:v>4.01.01</x:v>
      </x:c>
      <x:c r="C181" t="str">
        <x:v>Custo das mercadorias vendidas</x:v>
      </x:c>
      <x:c r="D181" t="str">
        <x:v>CONSOLIDADO</x:v>
      </x:c>
      <x:c r="E181" t="str">
        <x:v>BRL</x:v>
      </x:c>
      <x:c r="F181" s="26" t="n">
        <x:v>-11.684</x:v>
      </x:c>
      <x:c r="G181" t="str">
        <x:v>FECHADO</x:v>
      </x:c>
      <x:c r="H181" t="str">
        <x:v>ERP-ORBITA</x:v>
      </x:c>
    </x:row>
    <x:row r="182">
      <x:c r="A182" s="25" t="n">
        <x:v>45627</x:v>
      </x:c>
      <x:c r="B182" t="str">
        <x:v>3.02.01</x:v>
      </x:c>
      <x:c r="C182" t="str">
        <x:v>Lucro bruto</x:v>
      </x:c>
      <x:c r="D182" t="str">
        <x:v>CONSOLIDADO</x:v>
      </x:c>
      <x:c r="E182" t="str">
        <x:v>BRL</x:v>
      </x:c>
      <x:c r="F182" s="26" t="n">
        <x:v>5.524</x:v>
      </x:c>
      <x:c r="G182" t="str">
        <x:v>FECHADO</x:v>
      </x:c>
      <x:c r="H182" t="str">
        <x:v>ERP-ORBITA</x:v>
      </x:c>
    </x:row>
    <x:row r="183">
      <x:c r="A183" s="25" t="n">
        <x:v>45627</x:v>
      </x:c>
      <x:c r="B183" t="str">
        <x:v>4.02.01</x:v>
      </x:c>
      <x:c r="C183" t="str">
        <x:v>Pessoal</x:v>
      </x:c>
      <x:c r="D183" t="str">
        <x:v>CONSOLIDADO</x:v>
      </x:c>
      <x:c r="E183" t="str">
        <x:v>BRL</x:v>
      </x:c>
      <x:c r="F183" s="26" t="n">
        <x:v>-0.868</x:v>
      </x:c>
      <x:c r="G183" t="str">
        <x:v>FECHADO</x:v>
      </x:c>
      <x:c r="H183" t="str">
        <x:v>ERP-ORBITA</x:v>
      </x:c>
    </x:row>
    <x:row r="184">
      <x:c r="A184" s="25" t="n">
        <x:v>45627</x:v>
      </x:c>
      <x:c r="B184" t="str">
        <x:v>4.02.02</x:v>
      </x:c>
      <x:c r="C184" t="str">
        <x:v>Ocupação e utilidades</x:v>
      </x:c>
      <x:c r="D184" t="str">
        <x:v>CONSOLIDADO</x:v>
      </x:c>
      <x:c r="E184" t="str">
        <x:v>BRL</x:v>
      </x:c>
      <x:c r="F184" s="26" t="n">
        <x:v>-0.488</x:v>
      </x:c>
      <x:c r="G184" t="str">
        <x:v>FECHADO</x:v>
      </x:c>
      <x:c r="H184" t="str">
        <x:v>ERP-ORBITA</x:v>
      </x:c>
    </x:row>
    <x:row r="185">
      <x:c r="A185" s="25" t="n">
        <x:v>45627</x:v>
      </x:c>
      <x:c r="B185" t="str">
        <x:v>4.02.03</x:v>
      </x:c>
      <x:c r="C185" t="str">
        <x:v>Logística e tecnologia</x:v>
      </x:c>
      <x:c r="D185" t="str">
        <x:v>CONSOLIDADO</x:v>
      </x:c>
      <x:c r="E185" t="str">
        <x:v>BRL</x:v>
      </x:c>
      <x:c r="F185" s="26" t="n">
        <x:v>-0.488</x:v>
      </x:c>
      <x:c r="G185" t="str">
        <x:v>FECHADO</x:v>
      </x:c>
      <x:c r="H185" t="str">
        <x:v>ERP-ORBITA</x:v>
      </x:c>
    </x:row>
    <x:row r="186">
      <x:c r="A186" s="25" t="n">
        <x:v>45627</x:v>
      </x:c>
      <x:c r="B186" t="str">
        <x:v>4.02.04</x:v>
      </x:c>
      <x:c r="C186" t="str">
        <x:v>Despesas comerciais e administrativas</x:v>
      </x:c>
      <x:c r="D186" t="str">
        <x:v>CONSOLIDADO</x:v>
      </x:c>
      <x:c r="E186" t="str">
        <x:v>BRL</x:v>
      </x:c>
      <x:c r="F186" s="26" t="n">
        <x:v>-0.868</x:v>
      </x:c>
      <x:c r="G186" t="str">
        <x:v>FECHADO</x:v>
      </x:c>
      <x:c r="H186" t="str">
        <x:v>ERP-ORBITA</x:v>
      </x:c>
    </x:row>
    <x:row r="187">
      <x:c r="A187" s="25" t="n">
        <x:v>45627</x:v>
      </x:c>
      <x:c r="B187" t="str">
        <x:v>3.03.01</x:v>
      </x:c>
      <x:c r="C187" t="str">
        <x:v>EBITDA</x:v>
      </x:c>
      <x:c r="D187" t="str">
        <x:v>CONSOLIDADO</x:v>
      </x:c>
      <x:c r="E187" t="str">
        <x:v>BRL</x:v>
      </x:c>
      <x:c r="F187" s="26" t="n">
        <x:v>2.811</x:v>
      </x:c>
      <x:c r="G187" t="str">
        <x:v>FECHADO</x:v>
      </x:c>
      <x:c r="H187" t="str">
        <x:v>ERP-ORBITA</x:v>
      </x:c>
    </x:row>
    <x:row r="188">
      <x:c r="A188" s="25" t="n">
        <x:v>45627</x:v>
      </x:c>
      <x:c r="B188" t="str">
        <x:v>4.03.01</x:v>
      </x:c>
      <x:c r="C188" t="str">
        <x:v>Depreciação e amortização</x:v>
      </x:c>
      <x:c r="D188" t="str">
        <x:v>CONSOLIDADO</x:v>
      </x:c>
      <x:c r="E188" t="str">
        <x:v>BRL</x:v>
      </x:c>
      <x:c r="F188" s="26" t="n">
        <x:v>-0.482</x:v>
      </x:c>
      <x:c r="G188" t="str">
        <x:v>FECHADO</x:v>
      </x:c>
      <x:c r="H188" t="str">
        <x:v>ERP-ORBITA</x:v>
      </x:c>
    </x:row>
    <x:row r="189">
      <x:c r="A189" s="25" t="n">
        <x:v>45627</x:v>
      </x:c>
      <x:c r="B189" t="str">
        <x:v>3.04.01</x:v>
      </x:c>
      <x:c r="C189" t="str">
        <x:v>EBIT</x:v>
      </x:c>
      <x:c r="D189" t="str">
        <x:v>CONSOLIDADO</x:v>
      </x:c>
      <x:c r="E189" t="str">
        <x:v>BRL</x:v>
      </x:c>
      <x:c r="F189" s="26" t="n">
        <x:v>2.329</x:v>
      </x:c>
      <x:c r="G189" t="str">
        <x:v>FECHADO</x:v>
      </x:c>
      <x:c r="H189" t="str">
        <x:v>ERP-ORBITA</x:v>
      </x:c>
    </x:row>
    <x:row r="190">
      <x:c r="A190" s="25" t="n">
        <x:v>45627</x:v>
      </x:c>
      <x:c r="B190" t="str">
        <x:v>4.04.01</x:v>
      </x:c>
      <x:c r="C190" t="str">
        <x:v>Resultado financeiro líquido</x:v>
      </x:c>
      <x:c r="D190" t="str">
        <x:v>CONSOLIDADO</x:v>
      </x:c>
      <x:c r="E190" t="str">
        <x:v>BRL</x:v>
      </x:c>
      <x:c r="F190" s="26" t="n">
        <x:v>-0.809</x:v>
      </x:c>
      <x:c r="G190" t="str">
        <x:v>FECHADO</x:v>
      </x:c>
      <x:c r="H190" t="str">
        <x:v>ERP-ORBITA</x:v>
      </x:c>
    </x:row>
    <x:row r="191">
      <x:c r="A191" s="25" t="n">
        <x:v>45627</x:v>
      </x:c>
      <x:c r="B191" t="str">
        <x:v>3.05.01</x:v>
      </x:c>
      <x:c r="C191" t="str">
        <x:v>Lucro antes de IR/CS</x:v>
      </x:c>
      <x:c r="D191" t="str">
        <x:v>CONSOLIDADO</x:v>
      </x:c>
      <x:c r="E191" t="str">
        <x:v>BRL</x:v>
      </x:c>
      <x:c r="F191" s="26" t="n">
        <x:v>1.52</x:v>
      </x:c>
      <x:c r="G191" t="str">
        <x:v>FECHADO</x:v>
      </x:c>
      <x:c r="H191" t="str">
        <x:v>ERP-ORBITA</x:v>
      </x:c>
    </x:row>
    <x:row r="192">
      <x:c r="A192" s="25" t="n">
        <x:v>45627</x:v>
      </x:c>
      <x:c r="B192" t="str">
        <x:v>4.05.01</x:v>
      </x:c>
      <x:c r="C192" t="str">
        <x:v>IRPJ e CSLL</x:v>
      </x:c>
      <x:c r="D192" t="str">
        <x:v>CONSOLIDADO</x:v>
      </x:c>
      <x:c r="E192" t="str">
        <x:v>BRL</x:v>
      </x:c>
      <x:c r="F192" s="26" t="n">
        <x:v>-0.517</x:v>
      </x:c>
      <x:c r="G192" t="str">
        <x:v>FECHADO</x:v>
      </x:c>
      <x:c r="H192" t="str">
        <x:v>ERP-ORBITA</x:v>
      </x:c>
    </x:row>
    <x:row r="193">
      <x:c r="A193" s="25" t="n">
        <x:v>45627</x:v>
      </x:c>
      <x:c r="B193" t="str">
        <x:v>3.06.01</x:v>
      </x:c>
      <x:c r="C193" t="str">
        <x:v>Lucro líquido</x:v>
      </x:c>
      <x:c r="D193" t="str">
        <x:v>CONSOLIDADO</x:v>
      </x:c>
      <x:c r="E193" t="str">
        <x:v>BRL</x:v>
      </x:c>
      <x:c r="F193" s="26" t="n">
        <x:v>1.003</x:v>
      </x:c>
      <x:c r="G193" t="str">
        <x:v>FECHADO</x:v>
      </x:c>
      <x:c r="H193" t="str">
        <x:v>ERP-ORBITA</x:v>
      </x:c>
    </x:row>
    <x:row r="194">
      <x:c r="A194" s="25" t="n">
        <x:v>45658</x:v>
      </x:c>
      <x:c r="B194" t="str">
        <x:v>3.01.01</x:v>
      </x:c>
      <x:c r="C194" t="str">
        <x:v>Receita bruta de vendas</x:v>
      </x:c>
      <x:c r="D194" t="str">
        <x:v>CONSOLIDADO</x:v>
      </x:c>
      <x:c r="E194" t="str">
        <x:v>BRL</x:v>
      </x:c>
      <x:c r="F194" s="26" t="n">
        <x:v>14.531</x:v>
      </x:c>
      <x:c r="G194" t="str">
        <x:v>FECHADO</x:v>
      </x:c>
      <x:c r="H194" t="str">
        <x:v>ERP-ORBITA</x:v>
      </x:c>
    </x:row>
    <x:row r="195">
      <x:c r="A195" s="25" t="n">
        <x:v>45658</x:v>
      </x:c>
      <x:c r="B195" t="str">
        <x:v>3.01.02</x:v>
      </x:c>
      <x:c r="C195" t="str">
        <x:v>Deduções e impostos sobre vendas</x:v>
      </x:c>
      <x:c r="D195" t="str">
        <x:v>CONSOLIDADO</x:v>
      </x:c>
      <x:c r="E195" t="str">
        <x:v>BRL</x:v>
      </x:c>
      <x:c r="F195" s="26" t="n">
        <x:v>-0.581</x:v>
      </x:c>
      <x:c r="G195" t="str">
        <x:v>FECHADO</x:v>
      </x:c>
      <x:c r="H195" t="str">
        <x:v>ERP-ORBITA</x:v>
      </x:c>
    </x:row>
    <x:row r="196">
      <x:c r="A196" s="25" t="n">
        <x:v>45658</x:v>
      </x:c>
      <x:c r="B196" t="str">
        <x:v>3.01.03</x:v>
      </x:c>
      <x:c r="C196" t="str">
        <x:v>Receita líquida</x:v>
      </x:c>
      <x:c r="D196" t="str">
        <x:v>CONSOLIDADO</x:v>
      </x:c>
      <x:c r="E196" t="str">
        <x:v>BRL</x:v>
      </x:c>
      <x:c r="F196" s="26" t="n">
        <x:v>13.95</x:v>
      </x:c>
      <x:c r="G196" t="str">
        <x:v>FECHADO</x:v>
      </x:c>
      <x:c r="H196" t="str">
        <x:v>ERP-ORBITA</x:v>
      </x:c>
    </x:row>
    <x:row r="197">
      <x:c r="A197" s="25" t="n">
        <x:v>45658</x:v>
      </x:c>
      <x:c r="B197" t="str">
        <x:v>4.01.01</x:v>
      </x:c>
      <x:c r="C197" t="str">
        <x:v>Custo das mercadorias vendidas</x:v>
      </x:c>
      <x:c r="D197" t="str">
        <x:v>CONSOLIDADO</x:v>
      </x:c>
      <x:c r="E197" t="str">
        <x:v>BRL</x:v>
      </x:c>
      <x:c r="F197" s="26" t="n">
        <x:v>-9.43</x:v>
      </x:c>
      <x:c r="G197" t="str">
        <x:v>FECHADO</x:v>
      </x:c>
      <x:c r="H197" t="str">
        <x:v>ERP-ORBITA</x:v>
      </x:c>
    </x:row>
    <x:row r="198">
      <x:c r="A198" s="25" t="n">
        <x:v>45658</x:v>
      </x:c>
      <x:c r="B198" t="str">
        <x:v>3.02.01</x:v>
      </x:c>
      <x:c r="C198" t="str">
        <x:v>Lucro bruto</x:v>
      </x:c>
      <x:c r="D198" t="str">
        <x:v>CONSOLIDADO</x:v>
      </x:c>
      <x:c r="E198" t="str">
        <x:v>BRL</x:v>
      </x:c>
      <x:c r="F198" s="26" t="n">
        <x:v>4.52</x:v>
      </x:c>
      <x:c r="G198" t="str">
        <x:v>FECHADO</x:v>
      </x:c>
      <x:c r="H198" t="str">
        <x:v>ERP-ORBITA</x:v>
      </x:c>
    </x:row>
    <x:row r="199">
      <x:c r="A199" s="25" t="n">
        <x:v>45658</x:v>
      </x:c>
      <x:c r="B199" t="str">
        <x:v>4.02.01</x:v>
      </x:c>
      <x:c r="C199" t="str">
        <x:v>Pessoal</x:v>
      </x:c>
      <x:c r="D199" t="str">
        <x:v>CONSOLIDADO</x:v>
      </x:c>
      <x:c r="E199" t="str">
        <x:v>BRL</x:v>
      </x:c>
      <x:c r="F199" s="26" t="n">
        <x:v>-0.754</x:v>
      </x:c>
      <x:c r="G199" t="str">
        <x:v>FECHADO</x:v>
      </x:c>
      <x:c r="H199" t="str">
        <x:v>ERP-ORBITA</x:v>
      </x:c>
    </x:row>
    <x:row r="200">
      <x:c r="A200" s="25" t="n">
        <x:v>45658</x:v>
      </x:c>
      <x:c r="B200" t="str">
        <x:v>4.02.02</x:v>
      </x:c>
      <x:c r="C200" t="str">
        <x:v>Ocupação e utilidades</x:v>
      </x:c>
      <x:c r="D200" t="str">
        <x:v>CONSOLIDADO</x:v>
      </x:c>
      <x:c r="E200" t="str">
        <x:v>BRL</x:v>
      </x:c>
      <x:c r="F200" s="26" t="n">
        <x:v>-0.424</x:v>
      </x:c>
      <x:c r="G200" t="str">
        <x:v>FECHADO</x:v>
      </x:c>
      <x:c r="H200" t="str">
        <x:v>ERP-ORBITA</x:v>
      </x:c>
    </x:row>
    <x:row r="201">
      <x:c r="A201" s="25" t="n">
        <x:v>45658</x:v>
      </x:c>
      <x:c r="B201" t="str">
        <x:v>4.02.03</x:v>
      </x:c>
      <x:c r="C201" t="str">
        <x:v>Logística e tecnologia</x:v>
      </x:c>
      <x:c r="D201" t="str">
        <x:v>CONSOLIDADO</x:v>
      </x:c>
      <x:c r="E201" t="str">
        <x:v>BRL</x:v>
      </x:c>
      <x:c r="F201" s="26" t="n">
        <x:v>-0.424</x:v>
      </x:c>
      <x:c r="G201" t="str">
        <x:v>FECHADO</x:v>
      </x:c>
      <x:c r="H201" t="str">
        <x:v>ERP-ORBITA</x:v>
      </x:c>
    </x:row>
    <x:row r="202">
      <x:c r="A202" s="25" t="n">
        <x:v>45658</x:v>
      </x:c>
      <x:c r="B202" t="str">
        <x:v>4.02.04</x:v>
      </x:c>
      <x:c r="C202" t="str">
        <x:v>Despesas comerciais e administrativas</x:v>
      </x:c>
      <x:c r="D202" t="str">
        <x:v>CONSOLIDADO</x:v>
      </x:c>
      <x:c r="E202" t="str">
        <x:v>BRL</x:v>
      </x:c>
      <x:c r="F202" s="26" t="n">
        <x:v>-0.754</x:v>
      </x:c>
      <x:c r="G202" t="str">
        <x:v>FECHADO</x:v>
      </x:c>
      <x:c r="H202" t="str">
        <x:v>ERP-ORBITA</x:v>
      </x:c>
    </x:row>
    <x:row r="203">
      <x:c r="A203" s="25" t="n">
        <x:v>45658</x:v>
      </x:c>
      <x:c r="B203" t="str">
        <x:v>3.03.01</x:v>
      </x:c>
      <x:c r="C203" t="str">
        <x:v>EBITDA</x:v>
      </x:c>
      <x:c r="D203" t="str">
        <x:v>CONSOLIDADO</x:v>
      </x:c>
      <x:c r="E203" t="str">
        <x:v>BRL</x:v>
      </x:c>
      <x:c r="F203" s="26" t="n">
        <x:v>2.163</x:v>
      </x:c>
      <x:c r="G203" t="str">
        <x:v>FECHADO</x:v>
      </x:c>
      <x:c r="H203" t="str">
        <x:v>ERP-ORBITA</x:v>
      </x:c>
    </x:row>
    <x:row r="204">
      <x:c r="A204" s="25" t="n">
        <x:v>45658</x:v>
      </x:c>
      <x:c r="B204" t="str">
        <x:v>4.03.01</x:v>
      </x:c>
      <x:c r="C204" t="str">
        <x:v>Depreciação e amortização</x:v>
      </x:c>
      <x:c r="D204" t="str">
        <x:v>CONSOLIDADO</x:v>
      </x:c>
      <x:c r="E204" t="str">
        <x:v>BRL</x:v>
      </x:c>
      <x:c r="F204" s="26" t="n">
        <x:v>-0.391</x:v>
      </x:c>
      <x:c r="G204" t="str">
        <x:v>FECHADO</x:v>
      </x:c>
      <x:c r="H204" t="str">
        <x:v>ERP-ORBITA</x:v>
      </x:c>
    </x:row>
    <x:row r="205">
      <x:c r="A205" s="25" t="n">
        <x:v>45658</x:v>
      </x:c>
      <x:c r="B205" t="str">
        <x:v>3.04.01</x:v>
      </x:c>
      <x:c r="C205" t="str">
        <x:v>EBIT</x:v>
      </x:c>
      <x:c r="D205" t="str">
        <x:v>CONSOLIDADO</x:v>
      </x:c>
      <x:c r="E205" t="str">
        <x:v>BRL</x:v>
      </x:c>
      <x:c r="F205" s="26" t="n">
        <x:v>1.772</x:v>
      </x:c>
      <x:c r="G205" t="str">
        <x:v>FECHADO</x:v>
      </x:c>
      <x:c r="H205" t="str">
        <x:v>ERP-ORBITA</x:v>
      </x:c>
    </x:row>
    <x:row r="206">
      <x:c r="A206" s="25" t="n">
        <x:v>45658</x:v>
      </x:c>
      <x:c r="B206" t="str">
        <x:v>4.04.01</x:v>
      </x:c>
      <x:c r="C206" t="str">
        <x:v>Resultado financeiro líquido</x:v>
      </x:c>
      <x:c r="D206" t="str">
        <x:v>CONSOLIDADO</x:v>
      </x:c>
      <x:c r="E206" t="str">
        <x:v>BRL</x:v>
      </x:c>
      <x:c r="F206" s="26" t="n">
        <x:v>-0.656</x:v>
      </x:c>
      <x:c r="G206" t="str">
        <x:v>FECHADO</x:v>
      </x:c>
      <x:c r="H206" t="str">
        <x:v>ERP-ORBITA</x:v>
      </x:c>
    </x:row>
    <x:row r="207">
      <x:c r="A207" s="25" t="n">
        <x:v>45658</x:v>
      </x:c>
      <x:c r="B207" t="str">
        <x:v>3.05.01</x:v>
      </x:c>
      <x:c r="C207" t="str">
        <x:v>Lucro antes de IR/CS</x:v>
      </x:c>
      <x:c r="D207" t="str">
        <x:v>CONSOLIDADO</x:v>
      </x:c>
      <x:c r="E207" t="str">
        <x:v>BRL</x:v>
      </x:c>
      <x:c r="F207" s="26" t="n">
        <x:v>1.117</x:v>
      </x:c>
      <x:c r="G207" t="str">
        <x:v>FECHADO</x:v>
      </x:c>
      <x:c r="H207" t="str">
        <x:v>ERP-ORBITA</x:v>
      </x:c>
    </x:row>
    <x:row r="208">
      <x:c r="A208" s="25" t="n">
        <x:v>45658</x:v>
      </x:c>
      <x:c r="B208" t="str">
        <x:v>4.05.01</x:v>
      </x:c>
      <x:c r="C208" t="str">
        <x:v>IRPJ e CSLL</x:v>
      </x:c>
      <x:c r="D208" t="str">
        <x:v>CONSOLIDADO</x:v>
      </x:c>
      <x:c r="E208" t="str">
        <x:v>BRL</x:v>
      </x:c>
      <x:c r="F208" s="26" t="n">
        <x:v>-0.38</x:v>
      </x:c>
      <x:c r="G208" t="str">
        <x:v>FECHADO</x:v>
      </x:c>
      <x:c r="H208" t="str">
        <x:v>ERP-ORBITA</x:v>
      </x:c>
    </x:row>
    <x:row r="209">
      <x:c r="A209" s="25" t="n">
        <x:v>45658</x:v>
      </x:c>
      <x:c r="B209" t="str">
        <x:v>3.06.01</x:v>
      </x:c>
      <x:c r="C209" t="str">
        <x:v>Lucro líquido</x:v>
      </x:c>
      <x:c r="D209" t="str">
        <x:v>CONSOLIDADO</x:v>
      </x:c>
      <x:c r="E209" t="str">
        <x:v>BRL</x:v>
      </x:c>
      <x:c r="F209" s="26" t="n">
        <x:v>0.737</x:v>
      </x:c>
      <x:c r="G209" t="str">
        <x:v>FECHADO</x:v>
      </x:c>
      <x:c r="H209" t="str">
        <x:v>ERP-ORBITA</x:v>
      </x:c>
    </x:row>
    <x:row r="210">
      <x:c r="A210" s="25" t="n">
        <x:v>45689</x:v>
      </x:c>
      <x:c r="B210" t="str">
        <x:v>3.01.01</x:v>
      </x:c>
      <x:c r="C210" t="str">
        <x:v>Receita bruta de vendas</x:v>
      </x:c>
      <x:c r="D210" t="str">
        <x:v>CONSOLIDADO</x:v>
      </x:c>
      <x:c r="E210" t="str">
        <x:v>BRL</x:v>
      </x:c>
      <x:c r="F210" s="26" t="n">
        <x:v>13.95</x:v>
      </x:c>
      <x:c r="G210" t="str">
        <x:v>FECHADO</x:v>
      </x:c>
      <x:c r="H210" t="str">
        <x:v>ERP-ORBITA</x:v>
      </x:c>
    </x:row>
    <x:row r="211">
      <x:c r="A211" s="25" t="n">
        <x:v>45689</x:v>
      </x:c>
      <x:c r="B211" t="str">
        <x:v>3.01.02</x:v>
      </x:c>
      <x:c r="C211" t="str">
        <x:v>Deduções e impostos sobre vendas</x:v>
      </x:c>
      <x:c r="D211" t="str">
        <x:v>CONSOLIDADO</x:v>
      </x:c>
      <x:c r="E211" t="str">
        <x:v>BRL</x:v>
      </x:c>
      <x:c r="F211" s="26" t="n">
        <x:v>-0.558</x:v>
      </x:c>
      <x:c r="G211" t="str">
        <x:v>FECHADO</x:v>
      </x:c>
      <x:c r="H211" t="str">
        <x:v>ERP-ORBITA</x:v>
      </x:c>
    </x:row>
    <x:row r="212">
      <x:c r="A212" s="25" t="n">
        <x:v>45689</x:v>
      </x:c>
      <x:c r="B212" t="str">
        <x:v>3.01.03</x:v>
      </x:c>
      <x:c r="C212" t="str">
        <x:v>Receita líquida</x:v>
      </x:c>
      <x:c r="D212" t="str">
        <x:v>CONSOLIDADO</x:v>
      </x:c>
      <x:c r="E212" t="str">
        <x:v>BRL</x:v>
      </x:c>
      <x:c r="F212" s="26" t="n">
        <x:v>13.392</x:v>
      </x:c>
      <x:c r="G212" t="str">
        <x:v>FECHADO</x:v>
      </x:c>
      <x:c r="H212" t="str">
        <x:v>ERP-ORBITA</x:v>
      </x:c>
    </x:row>
    <x:row r="213">
      <x:c r="A213" s="25" t="n">
        <x:v>45689</x:v>
      </x:c>
      <x:c r="B213" t="str">
        <x:v>4.01.01</x:v>
      </x:c>
      <x:c r="C213" t="str">
        <x:v>Custo das mercadorias vendidas</x:v>
      </x:c>
      <x:c r="D213" t="str">
        <x:v>CONSOLIDADO</x:v>
      </x:c>
      <x:c r="E213" t="str">
        <x:v>BRL</x:v>
      </x:c>
      <x:c r="F213" s="26" t="n">
        <x:v>-9.053</x:v>
      </x:c>
      <x:c r="G213" t="str">
        <x:v>FECHADO</x:v>
      </x:c>
      <x:c r="H213" t="str">
        <x:v>ERP-ORBITA</x:v>
      </x:c>
    </x:row>
    <x:row r="214">
      <x:c r="A214" s="25" t="n">
        <x:v>45689</x:v>
      </x:c>
      <x:c r="B214" t="str">
        <x:v>3.02.01</x:v>
      </x:c>
      <x:c r="C214" t="str">
        <x:v>Lucro bruto</x:v>
      </x:c>
      <x:c r="D214" t="str">
        <x:v>CONSOLIDADO</x:v>
      </x:c>
      <x:c r="E214" t="str">
        <x:v>BRL</x:v>
      </x:c>
      <x:c r="F214" s="26" t="n">
        <x:v>4.339</x:v>
      </x:c>
      <x:c r="G214" t="str">
        <x:v>FECHADO</x:v>
      </x:c>
      <x:c r="H214" t="str">
        <x:v>ERP-ORBITA</x:v>
      </x:c>
    </x:row>
    <x:row r="215">
      <x:c r="A215" s="25" t="n">
        <x:v>45689</x:v>
      </x:c>
      <x:c r="B215" t="str">
        <x:v>4.02.01</x:v>
      </x:c>
      <x:c r="C215" t="str">
        <x:v>Pessoal</x:v>
      </x:c>
      <x:c r="D215" t="str">
        <x:v>CONSOLIDADO</x:v>
      </x:c>
      <x:c r="E215" t="str">
        <x:v>BRL</x:v>
      </x:c>
      <x:c r="F215" s="26" t="n">
        <x:v>-0.717</x:v>
      </x:c>
      <x:c r="G215" t="str">
        <x:v>FECHADO</x:v>
      </x:c>
      <x:c r="H215" t="str">
        <x:v>ERP-ORBITA</x:v>
      </x:c>
    </x:row>
    <x:row r="216">
      <x:c r="A216" s="25" t="n">
        <x:v>45689</x:v>
      </x:c>
      <x:c r="B216" t="str">
        <x:v>4.02.02</x:v>
      </x:c>
      <x:c r="C216" t="str">
        <x:v>Ocupação e utilidades</x:v>
      </x:c>
      <x:c r="D216" t="str">
        <x:v>CONSOLIDADO</x:v>
      </x:c>
      <x:c r="E216" t="str">
        <x:v>BRL</x:v>
      </x:c>
      <x:c r="F216" s="26" t="n">
        <x:v>-0.403</x:v>
      </x:c>
      <x:c r="G216" t="str">
        <x:v>FECHADO</x:v>
      </x:c>
      <x:c r="H216" t="str">
        <x:v>ERP-ORBITA</x:v>
      </x:c>
    </x:row>
    <x:row r="217">
      <x:c r="A217" s="25" t="n">
        <x:v>45689</x:v>
      </x:c>
      <x:c r="B217" t="str">
        <x:v>4.02.03</x:v>
      </x:c>
      <x:c r="C217" t="str">
        <x:v>Logística e tecnologia</x:v>
      </x:c>
      <x:c r="D217" t="str">
        <x:v>CONSOLIDADO</x:v>
      </x:c>
      <x:c r="E217" t="str">
        <x:v>BRL</x:v>
      </x:c>
      <x:c r="F217" s="26" t="n">
        <x:v>-0.403</x:v>
      </x:c>
      <x:c r="G217" t="str">
        <x:v>FECHADO</x:v>
      </x:c>
      <x:c r="H217" t="str">
        <x:v>ERP-ORBITA</x:v>
      </x:c>
    </x:row>
    <x:row r="218">
      <x:c r="A218" s="25" t="n">
        <x:v>45689</x:v>
      </x:c>
      <x:c r="B218" t="str">
        <x:v>4.02.04</x:v>
      </x:c>
      <x:c r="C218" t="str">
        <x:v>Despesas comerciais e administrativas</x:v>
      </x:c>
      <x:c r="D218" t="str">
        <x:v>CONSOLIDADO</x:v>
      </x:c>
      <x:c r="E218" t="str">
        <x:v>BRL</x:v>
      </x:c>
      <x:c r="F218" s="26" t="n">
        <x:v>-0.717</x:v>
      </x:c>
      <x:c r="G218" t="str">
        <x:v>FECHADO</x:v>
      </x:c>
      <x:c r="H218" t="str">
        <x:v>ERP-ORBITA</x:v>
      </x:c>
    </x:row>
    <x:row r="219">
      <x:c r="A219" s="25" t="n">
        <x:v>45689</x:v>
      </x:c>
      <x:c r="B219" t="str">
        <x:v>3.03.01</x:v>
      </x:c>
      <x:c r="C219" t="str">
        <x:v>EBITDA</x:v>
      </x:c>
      <x:c r="D219" t="str">
        <x:v>CONSOLIDADO</x:v>
      </x:c>
      <x:c r="E219" t="str">
        <x:v>BRL</x:v>
      </x:c>
      <x:c r="F219" s="26" t="n">
        <x:v>2.099</x:v>
      </x:c>
      <x:c r="G219" t="str">
        <x:v>FECHADO</x:v>
      </x:c>
      <x:c r="H219" t="str">
        <x:v>ERP-ORBITA</x:v>
      </x:c>
    </x:row>
    <x:row r="220">
      <x:c r="A220" s="25" t="n">
        <x:v>45689</x:v>
      </x:c>
      <x:c r="B220" t="str">
        <x:v>4.03.01</x:v>
      </x:c>
      <x:c r="C220" t="str">
        <x:v>Depreciação e amortização</x:v>
      </x:c>
      <x:c r="D220" t="str">
        <x:v>CONSOLIDADO</x:v>
      </x:c>
      <x:c r="E220" t="str">
        <x:v>BRL</x:v>
      </x:c>
      <x:c r="F220" s="26" t="n">
        <x:v>-0.375</x:v>
      </x:c>
      <x:c r="G220" t="str">
        <x:v>FECHADO</x:v>
      </x:c>
      <x:c r="H220" t="str">
        <x:v>ERP-ORBITA</x:v>
      </x:c>
    </x:row>
    <x:row r="221">
      <x:c r="A221" s="25" t="n">
        <x:v>45689</x:v>
      </x:c>
      <x:c r="B221" t="str">
        <x:v>3.04.01</x:v>
      </x:c>
      <x:c r="C221" t="str">
        <x:v>EBIT</x:v>
      </x:c>
      <x:c r="D221" t="str">
        <x:v>CONSOLIDADO</x:v>
      </x:c>
      <x:c r="E221" t="str">
        <x:v>BRL</x:v>
      </x:c>
      <x:c r="F221" s="26" t="n">
        <x:v>1.724</x:v>
      </x:c>
      <x:c r="G221" t="str">
        <x:v>FECHADO</x:v>
      </x:c>
      <x:c r="H221" t="str">
        <x:v>ERP-ORBITA</x:v>
      </x:c>
    </x:row>
    <x:row r="222">
      <x:c r="A222" s="25" t="n">
        <x:v>45689</x:v>
      </x:c>
      <x:c r="B222" t="str">
        <x:v>4.04.01</x:v>
      </x:c>
      <x:c r="C222" t="str">
        <x:v>Resultado financeiro líquido</x:v>
      </x:c>
      <x:c r="D222" t="str">
        <x:v>CONSOLIDADO</x:v>
      </x:c>
      <x:c r="E222" t="str">
        <x:v>BRL</x:v>
      </x:c>
      <x:c r="F222" s="26" t="n">
        <x:v>-0.629</x:v>
      </x:c>
      <x:c r="G222" t="str">
        <x:v>FECHADO</x:v>
      </x:c>
      <x:c r="H222" t="str">
        <x:v>ERP-ORBITA</x:v>
      </x:c>
    </x:row>
    <x:row r="223">
      <x:c r="A223" s="25" t="n">
        <x:v>45689</x:v>
      </x:c>
      <x:c r="B223" t="str">
        <x:v>3.05.01</x:v>
      </x:c>
      <x:c r="C223" t="str">
        <x:v>Lucro antes de IR/CS</x:v>
      </x:c>
      <x:c r="D223" t="str">
        <x:v>CONSOLIDADO</x:v>
      </x:c>
      <x:c r="E223" t="str">
        <x:v>BRL</x:v>
      </x:c>
      <x:c r="F223" s="26" t="n">
        <x:v>1.095</x:v>
      </x:c>
      <x:c r="G223" t="str">
        <x:v>FECHADO</x:v>
      </x:c>
      <x:c r="H223" t="str">
        <x:v>ERP-ORBITA</x:v>
      </x:c>
    </x:row>
    <x:row r="224">
      <x:c r="A224" s="25" t="n">
        <x:v>45689</x:v>
      </x:c>
      <x:c r="B224" t="str">
        <x:v>4.05.01</x:v>
      </x:c>
      <x:c r="C224" t="str">
        <x:v>IRPJ e CSLL</x:v>
      </x:c>
      <x:c r="D224" t="str">
        <x:v>CONSOLIDADO</x:v>
      </x:c>
      <x:c r="E224" t="str">
        <x:v>BRL</x:v>
      </x:c>
      <x:c r="F224" s="26" t="n">
        <x:v>-0.372</x:v>
      </x:c>
      <x:c r="G224" t="str">
        <x:v>FECHADO</x:v>
      </x:c>
      <x:c r="H224" t="str">
        <x:v>ERP-ORBITA</x:v>
      </x:c>
    </x:row>
    <x:row r="225">
      <x:c r="A225" s="25" t="n">
        <x:v>45689</x:v>
      </x:c>
      <x:c r="B225" t="str">
        <x:v>3.06.01</x:v>
      </x:c>
      <x:c r="C225" t="str">
        <x:v>Lucro líquido</x:v>
      </x:c>
      <x:c r="D225" t="str">
        <x:v>CONSOLIDADO</x:v>
      </x:c>
      <x:c r="E225" t="str">
        <x:v>BRL</x:v>
      </x:c>
      <x:c r="F225" s="26" t="n">
        <x:v>0.722</x:v>
      </x:c>
      <x:c r="G225" t="str">
        <x:v>FECHADO</x:v>
      </x:c>
      <x:c r="H225" t="str">
        <x:v>ERP-ORBITA</x:v>
      </x:c>
    </x:row>
    <x:row r="226">
      <x:c r="A226" s="25" t="n">
        <x:v>45717</x:v>
      </x:c>
      <x:c r="B226" t="str">
        <x:v>3.01.01</x:v>
      </x:c>
      <x:c r="C226" t="str">
        <x:v>Receita bruta de vendas</x:v>
      </x:c>
      <x:c r="D226" t="str">
        <x:v>CONSOLIDADO</x:v>
      </x:c>
      <x:c r="E226" t="str">
        <x:v>BRL</x:v>
      </x:c>
      <x:c r="F226" s="26" t="n">
        <x:v>15.112</x:v>
      </x:c>
      <x:c r="G226" t="str">
        <x:v>FECHADO</x:v>
      </x:c>
      <x:c r="H226" t="str">
        <x:v>ERP-ORBITA</x:v>
      </x:c>
    </x:row>
    <x:row r="227">
      <x:c r="A227" s="25" t="n">
        <x:v>45717</x:v>
      </x:c>
      <x:c r="B227" t="str">
        <x:v>3.01.02</x:v>
      </x:c>
      <x:c r="C227" t="str">
        <x:v>Deduções e impostos sobre vendas</x:v>
      </x:c>
      <x:c r="D227" t="str">
        <x:v>CONSOLIDADO</x:v>
      </x:c>
      <x:c r="E227" t="str">
        <x:v>BRL</x:v>
      </x:c>
      <x:c r="F227" s="26" t="n">
        <x:v>-0.604</x:v>
      </x:c>
      <x:c r="G227" t="str">
        <x:v>FECHADO</x:v>
      </x:c>
      <x:c r="H227" t="str">
        <x:v>ERP-ORBITA</x:v>
      </x:c>
    </x:row>
    <x:row r="228">
      <x:c r="A228" s="25" t="n">
        <x:v>45717</x:v>
      </x:c>
      <x:c r="B228" t="str">
        <x:v>3.01.03</x:v>
      </x:c>
      <x:c r="C228" t="str">
        <x:v>Receita líquida</x:v>
      </x:c>
      <x:c r="D228" t="str">
        <x:v>CONSOLIDADO</x:v>
      </x:c>
      <x:c r="E228" t="str">
        <x:v>BRL</x:v>
      </x:c>
      <x:c r="F228" s="26" t="n">
        <x:v>14.508</x:v>
      </x:c>
      <x:c r="G228" t="str">
        <x:v>FECHADO</x:v>
      </x:c>
      <x:c r="H228" t="str">
        <x:v>ERP-ORBITA</x:v>
      </x:c>
    </x:row>
    <x:row r="229">
      <x:c r="A229" s="25" t="n">
        <x:v>45717</x:v>
      </x:c>
      <x:c r="B229" t="str">
        <x:v>4.01.01</x:v>
      </x:c>
      <x:c r="C229" t="str">
        <x:v>Custo das mercadorias vendidas</x:v>
      </x:c>
      <x:c r="D229" t="str">
        <x:v>CONSOLIDADO</x:v>
      </x:c>
      <x:c r="E229" t="str">
        <x:v>BRL</x:v>
      </x:c>
      <x:c r="F229" s="26" t="n">
        <x:v>-9.807</x:v>
      </x:c>
      <x:c r="G229" t="str">
        <x:v>FECHADO</x:v>
      </x:c>
      <x:c r="H229" t="str">
        <x:v>ERP-ORBITA</x:v>
      </x:c>
    </x:row>
    <x:row r="230">
      <x:c r="A230" s="25" t="n">
        <x:v>45717</x:v>
      </x:c>
      <x:c r="B230" t="str">
        <x:v>3.02.01</x:v>
      </x:c>
      <x:c r="C230" t="str">
        <x:v>Lucro bruto</x:v>
      </x:c>
      <x:c r="D230" t="str">
        <x:v>CONSOLIDADO</x:v>
      </x:c>
      <x:c r="E230" t="str">
        <x:v>BRL</x:v>
      </x:c>
      <x:c r="F230" s="26" t="n">
        <x:v>4.701</x:v>
      </x:c>
      <x:c r="G230" t="str">
        <x:v>FECHADO</x:v>
      </x:c>
      <x:c r="H230" t="str">
        <x:v>ERP-ORBITA</x:v>
      </x:c>
    </x:row>
    <x:row r="231">
      <x:c r="A231" s="25" t="n">
        <x:v>45717</x:v>
      </x:c>
      <x:c r="B231" t="str">
        <x:v>4.02.01</x:v>
      </x:c>
      <x:c r="C231" t="str">
        <x:v>Pessoal</x:v>
      </x:c>
      <x:c r="D231" t="str">
        <x:v>CONSOLIDADO</x:v>
      </x:c>
      <x:c r="E231" t="str">
        <x:v>BRL</x:v>
      </x:c>
      <x:c r="F231" s="26" t="n">
        <x:v>-0.769</x:v>
      </x:c>
      <x:c r="G231" t="str">
        <x:v>FECHADO</x:v>
      </x:c>
      <x:c r="H231" t="str">
        <x:v>ERP-ORBITA</x:v>
      </x:c>
    </x:row>
    <x:row r="232">
      <x:c r="A232" s="25" t="n">
        <x:v>45717</x:v>
      </x:c>
      <x:c r="B232" t="str">
        <x:v>4.02.02</x:v>
      </x:c>
      <x:c r="C232" t="str">
        <x:v>Ocupação e utilidades</x:v>
      </x:c>
      <x:c r="D232" t="str">
        <x:v>CONSOLIDADO</x:v>
      </x:c>
      <x:c r="E232" t="str">
        <x:v>BRL</x:v>
      </x:c>
      <x:c r="F232" s="26" t="n">
        <x:v>-0.433</x:v>
      </x:c>
      <x:c r="G232" t="str">
        <x:v>FECHADO</x:v>
      </x:c>
      <x:c r="H232" t="str">
        <x:v>ERP-ORBITA</x:v>
      </x:c>
    </x:row>
    <x:row r="233">
      <x:c r="A233" s="25" t="n">
        <x:v>45717</x:v>
      </x:c>
      <x:c r="B233" t="str">
        <x:v>4.02.03</x:v>
      </x:c>
      <x:c r="C233" t="str">
        <x:v>Logística e tecnologia</x:v>
      </x:c>
      <x:c r="D233" t="str">
        <x:v>CONSOLIDADO</x:v>
      </x:c>
      <x:c r="E233" t="str">
        <x:v>BRL</x:v>
      </x:c>
      <x:c r="F233" s="26" t="n">
        <x:v>-0.433</x:v>
      </x:c>
      <x:c r="G233" t="str">
        <x:v>FECHADO</x:v>
      </x:c>
      <x:c r="H233" t="str">
        <x:v>ERP-ORBITA</x:v>
      </x:c>
    </x:row>
    <x:row r="234">
      <x:c r="A234" s="25" t="n">
        <x:v>45717</x:v>
      </x:c>
      <x:c r="B234" t="str">
        <x:v>4.02.04</x:v>
      </x:c>
      <x:c r="C234" t="str">
        <x:v>Despesas comerciais e administrativas</x:v>
      </x:c>
      <x:c r="D234" t="str">
        <x:v>CONSOLIDADO</x:v>
      </x:c>
      <x:c r="E234" t="str">
        <x:v>BRL</x:v>
      </x:c>
      <x:c r="F234" s="26" t="n">
        <x:v>-0.769</x:v>
      </x:c>
      <x:c r="G234" t="str">
        <x:v>FECHADO</x:v>
      </x:c>
      <x:c r="H234" t="str">
        <x:v>ERP-ORBITA</x:v>
      </x:c>
    </x:row>
    <x:row r="235">
      <x:c r="A235" s="25" t="n">
        <x:v>45717</x:v>
      </x:c>
      <x:c r="B235" t="str">
        <x:v>3.03.01</x:v>
      </x:c>
      <x:c r="C235" t="str">
        <x:v>EBITDA</x:v>
      </x:c>
      <x:c r="D235" t="str">
        <x:v>CONSOLIDADO</x:v>
      </x:c>
      <x:c r="E235" t="str">
        <x:v>BRL</x:v>
      </x:c>
      <x:c r="F235" s="26" t="n">
        <x:v>2.297</x:v>
      </x:c>
      <x:c r="G235" t="str">
        <x:v>FECHADO</x:v>
      </x:c>
      <x:c r="H235" t="str">
        <x:v>ERP-ORBITA</x:v>
      </x:c>
    </x:row>
    <x:row r="236">
      <x:c r="A236" s="25" t="n">
        <x:v>45717</x:v>
      </x:c>
      <x:c r="B236" t="str">
        <x:v>4.03.01</x:v>
      </x:c>
      <x:c r="C236" t="str">
        <x:v>Depreciação e amortização</x:v>
      </x:c>
      <x:c r="D236" t="str">
        <x:v>CONSOLIDADO</x:v>
      </x:c>
      <x:c r="E236" t="str">
        <x:v>BRL</x:v>
      </x:c>
      <x:c r="F236" s="26" t="n">
        <x:v>-0.406</x:v>
      </x:c>
      <x:c r="G236" t="str">
        <x:v>FECHADO</x:v>
      </x:c>
      <x:c r="H236" t="str">
        <x:v>ERP-ORBITA</x:v>
      </x:c>
    </x:row>
    <x:row r="237">
      <x:c r="A237" s="25" t="n">
        <x:v>45717</x:v>
      </x:c>
      <x:c r="B237" t="str">
        <x:v>3.04.01</x:v>
      </x:c>
      <x:c r="C237" t="str">
        <x:v>EBIT</x:v>
      </x:c>
      <x:c r="D237" t="str">
        <x:v>CONSOLIDADO</x:v>
      </x:c>
      <x:c r="E237" t="str">
        <x:v>BRL</x:v>
      </x:c>
      <x:c r="F237" s="26" t="n">
        <x:v>1.891</x:v>
      </x:c>
      <x:c r="G237" t="str">
        <x:v>FECHADO</x:v>
      </x:c>
      <x:c r="H237" t="str">
        <x:v>ERP-ORBITA</x:v>
      </x:c>
    </x:row>
    <x:row r="238">
      <x:c r="A238" s="25" t="n">
        <x:v>45717</x:v>
      </x:c>
      <x:c r="B238" t="str">
        <x:v>4.04.01</x:v>
      </x:c>
      <x:c r="C238" t="str">
        <x:v>Resultado financeiro líquido</x:v>
      </x:c>
      <x:c r="D238" t="str">
        <x:v>CONSOLIDADO</x:v>
      </x:c>
      <x:c r="E238" t="str">
        <x:v>BRL</x:v>
      </x:c>
      <x:c r="F238" s="26" t="n">
        <x:v>-0.682</x:v>
      </x:c>
      <x:c r="G238" t="str">
        <x:v>FECHADO</x:v>
      </x:c>
      <x:c r="H238" t="str">
        <x:v>ERP-ORBITA</x:v>
      </x:c>
    </x:row>
    <x:row r="239">
      <x:c r="A239" s="25" t="n">
        <x:v>45717</x:v>
      </x:c>
      <x:c r="B239" t="str">
        <x:v>3.05.01</x:v>
      </x:c>
      <x:c r="C239" t="str">
        <x:v>Lucro antes de IR/CS</x:v>
      </x:c>
      <x:c r="D239" t="str">
        <x:v>CONSOLIDADO</x:v>
      </x:c>
      <x:c r="E239" t="str">
        <x:v>BRL</x:v>
      </x:c>
      <x:c r="F239" s="26" t="n">
        <x:v>1.209</x:v>
      </x:c>
      <x:c r="G239" t="str">
        <x:v>FECHADO</x:v>
      </x:c>
      <x:c r="H239" t="str">
        <x:v>ERP-ORBITA</x:v>
      </x:c>
    </x:row>
    <x:row r="240">
      <x:c r="A240" s="25" t="n">
        <x:v>45717</x:v>
      </x:c>
      <x:c r="B240" t="str">
        <x:v>4.05.01</x:v>
      </x:c>
      <x:c r="C240" t="str">
        <x:v>IRPJ e CSLL</x:v>
      </x:c>
      <x:c r="D240" t="str">
        <x:v>CONSOLIDADO</x:v>
      </x:c>
      <x:c r="E240" t="str">
        <x:v>BRL</x:v>
      </x:c>
      <x:c r="F240" s="26" t="n">
        <x:v>-0.411</x:v>
      </x:c>
      <x:c r="G240" t="str">
        <x:v>FECHADO</x:v>
      </x:c>
      <x:c r="H240" t="str">
        <x:v>ERP-ORBITA</x:v>
      </x:c>
    </x:row>
    <x:row r="241">
      <x:c r="A241" s="25" t="n">
        <x:v>45717</x:v>
      </x:c>
      <x:c r="B241" t="str">
        <x:v>3.06.01</x:v>
      </x:c>
      <x:c r="C241" t="str">
        <x:v>Lucro líquido</x:v>
      </x:c>
      <x:c r="D241" t="str">
        <x:v>CONSOLIDADO</x:v>
      </x:c>
      <x:c r="E241" t="str">
        <x:v>BRL</x:v>
      </x:c>
      <x:c r="F241" s="26" t="n">
        <x:v>0.798</x:v>
      </x:c>
      <x:c r="G241" t="str">
        <x:v>FECHADO</x:v>
      </x:c>
      <x:c r="H241" t="str">
        <x:v>ERP-ORBITA</x:v>
      </x:c>
    </x:row>
    <x:row r="242">
      <x:c r="A242" s="25" t="n">
        <x:v>45748</x:v>
      </x:c>
      <x:c r="B242" t="str">
        <x:v>3.01.01</x:v>
      </x:c>
      <x:c r="C242" t="str">
        <x:v>Receita bruta de vendas</x:v>
      </x:c>
      <x:c r="D242" t="str">
        <x:v>CONSOLIDADO</x:v>
      </x:c>
      <x:c r="E242" t="str">
        <x:v>BRL</x:v>
      </x:c>
      <x:c r="F242" s="26" t="n">
        <x:v>15.306</x:v>
      </x:c>
      <x:c r="G242" t="str">
        <x:v>FECHADO</x:v>
      </x:c>
      <x:c r="H242" t="str">
        <x:v>ERP-ORBITA</x:v>
      </x:c>
    </x:row>
    <x:row r="243">
      <x:c r="A243" s="25" t="n">
        <x:v>45748</x:v>
      </x:c>
      <x:c r="B243" t="str">
        <x:v>3.01.02</x:v>
      </x:c>
      <x:c r="C243" t="str">
        <x:v>Deduções e impostos sobre vendas</x:v>
      </x:c>
      <x:c r="D243" t="str">
        <x:v>CONSOLIDADO</x:v>
      </x:c>
      <x:c r="E243" t="str">
        <x:v>BRL</x:v>
      </x:c>
      <x:c r="F243" s="26" t="n">
        <x:v>-0.612</x:v>
      </x:c>
      <x:c r="G243" t="str">
        <x:v>FECHADO</x:v>
      </x:c>
      <x:c r="H243" t="str">
        <x:v>ERP-ORBITA</x:v>
      </x:c>
    </x:row>
    <x:row r="244">
      <x:c r="A244" s="25" t="n">
        <x:v>45748</x:v>
      </x:c>
      <x:c r="B244" t="str">
        <x:v>3.01.03</x:v>
      </x:c>
      <x:c r="C244" t="str">
        <x:v>Receita líquida</x:v>
      </x:c>
      <x:c r="D244" t="str">
        <x:v>CONSOLIDADO</x:v>
      </x:c>
      <x:c r="E244" t="str">
        <x:v>BRL</x:v>
      </x:c>
      <x:c r="F244" s="26" t="n">
        <x:v>14.694</x:v>
      </x:c>
      <x:c r="G244" t="str">
        <x:v>FECHADO</x:v>
      </x:c>
      <x:c r="H244" t="str">
        <x:v>ERP-ORBITA</x:v>
      </x:c>
    </x:row>
    <x:row r="245">
      <x:c r="A245" s="25" t="n">
        <x:v>45748</x:v>
      </x:c>
      <x:c r="B245" t="str">
        <x:v>4.01.01</x:v>
      </x:c>
      <x:c r="C245" t="str">
        <x:v>Custo das mercadorias vendidas</x:v>
      </x:c>
      <x:c r="D245" t="str">
        <x:v>CONSOLIDADO</x:v>
      </x:c>
      <x:c r="E245" t="str">
        <x:v>BRL</x:v>
      </x:c>
      <x:c r="F245" s="26" t="n">
        <x:v>-9.933</x:v>
      </x:c>
      <x:c r="G245" t="str">
        <x:v>FECHADO</x:v>
      </x:c>
      <x:c r="H245" t="str">
        <x:v>ERP-ORBITA</x:v>
      </x:c>
    </x:row>
    <x:row r="246">
      <x:c r="A246" s="25" t="n">
        <x:v>45748</x:v>
      </x:c>
      <x:c r="B246" t="str">
        <x:v>3.02.01</x:v>
      </x:c>
      <x:c r="C246" t="str">
        <x:v>Lucro bruto</x:v>
      </x:c>
      <x:c r="D246" t="str">
        <x:v>CONSOLIDADO</x:v>
      </x:c>
      <x:c r="E246" t="str">
        <x:v>BRL</x:v>
      </x:c>
      <x:c r="F246" s="26" t="n">
        <x:v>4.761</x:v>
      </x:c>
      <x:c r="G246" t="str">
        <x:v>FECHADO</x:v>
      </x:c>
      <x:c r="H246" t="str">
        <x:v>ERP-ORBITA</x:v>
      </x:c>
    </x:row>
    <x:row r="247">
      <x:c r="A247" s="25" t="n">
        <x:v>45748</x:v>
      </x:c>
      <x:c r="B247" t="str">
        <x:v>4.02.01</x:v>
      </x:c>
      <x:c r="C247" t="str">
        <x:v>Pessoal</x:v>
      </x:c>
      <x:c r="D247" t="str">
        <x:v>CONSOLIDADO</x:v>
      </x:c>
      <x:c r="E247" t="str">
        <x:v>BRL</x:v>
      </x:c>
      <x:c r="F247" s="26" t="n">
        <x:v>-0.771</x:v>
      </x:c>
      <x:c r="G247" t="str">
        <x:v>FECHADO</x:v>
      </x:c>
      <x:c r="H247" t="str">
        <x:v>ERP-ORBITA</x:v>
      </x:c>
    </x:row>
    <x:row r="248">
      <x:c r="A248" s="25" t="n">
        <x:v>45748</x:v>
      </x:c>
      <x:c r="B248" t="str">
        <x:v>4.02.02</x:v>
      </x:c>
      <x:c r="C248" t="str">
        <x:v>Ocupação e utilidades</x:v>
      </x:c>
      <x:c r="D248" t="str">
        <x:v>CONSOLIDADO</x:v>
      </x:c>
      <x:c r="E248" t="str">
        <x:v>BRL</x:v>
      </x:c>
      <x:c r="F248" s="26" t="n">
        <x:v>-0.434</x:v>
      </x:c>
      <x:c r="G248" t="str">
        <x:v>FECHADO</x:v>
      </x:c>
      <x:c r="H248" t="str">
        <x:v>ERP-ORBITA</x:v>
      </x:c>
    </x:row>
    <x:row r="249">
      <x:c r="A249" s="25" t="n">
        <x:v>45748</x:v>
      </x:c>
      <x:c r="B249" t="str">
        <x:v>4.02.03</x:v>
      </x:c>
      <x:c r="C249" t="str">
        <x:v>Logística e tecnologia</x:v>
      </x:c>
      <x:c r="D249" t="str">
        <x:v>CONSOLIDADO</x:v>
      </x:c>
      <x:c r="E249" t="str">
        <x:v>BRL</x:v>
      </x:c>
      <x:c r="F249" s="26" t="n">
        <x:v>-0.434</x:v>
      </x:c>
      <x:c r="G249" t="str">
        <x:v>FECHADO</x:v>
      </x:c>
      <x:c r="H249" t="str">
        <x:v>ERP-ORBITA</x:v>
      </x:c>
    </x:row>
    <x:row r="250">
      <x:c r="A250" s="25" t="n">
        <x:v>45748</x:v>
      </x:c>
      <x:c r="B250" t="str">
        <x:v>4.02.04</x:v>
      </x:c>
      <x:c r="C250" t="str">
        <x:v>Despesas comerciais e administrativas</x:v>
      </x:c>
      <x:c r="D250" t="str">
        <x:v>CONSOLIDADO</x:v>
      </x:c>
      <x:c r="E250" t="str">
        <x:v>BRL</x:v>
      </x:c>
      <x:c r="F250" s="26" t="n">
        <x:v>-0.771</x:v>
      </x:c>
      <x:c r="G250" t="str">
        <x:v>FECHADO</x:v>
      </x:c>
      <x:c r="H250" t="str">
        <x:v>ERP-ORBITA</x:v>
      </x:c>
    </x:row>
    <x:row r="251">
      <x:c r="A251" s="25" t="n">
        <x:v>45748</x:v>
      </x:c>
      <x:c r="B251" t="str">
        <x:v>3.03.01</x:v>
      </x:c>
      <x:c r="C251" t="str">
        <x:v>EBITDA</x:v>
      </x:c>
      <x:c r="D251" t="str">
        <x:v>CONSOLIDADO</x:v>
      </x:c>
      <x:c r="E251" t="str">
        <x:v>BRL</x:v>
      </x:c>
      <x:c r="F251" s="26" t="n">
        <x:v>2.351</x:v>
      </x:c>
      <x:c r="G251" t="str">
        <x:v>FECHADO</x:v>
      </x:c>
      <x:c r="H251" t="str">
        <x:v>ERP-ORBITA</x:v>
      </x:c>
    </x:row>
    <x:row r="252">
      <x:c r="A252" s="25" t="n">
        <x:v>45748</x:v>
      </x:c>
      <x:c r="B252" t="str">
        <x:v>4.03.01</x:v>
      </x:c>
      <x:c r="C252" t="str">
        <x:v>Depreciação e amortização</x:v>
      </x:c>
      <x:c r="D252" t="str">
        <x:v>CONSOLIDADO</x:v>
      </x:c>
      <x:c r="E252" t="str">
        <x:v>BRL</x:v>
      </x:c>
      <x:c r="F252" s="26" t="n">
        <x:v>-0.411</x:v>
      </x:c>
      <x:c r="G252" t="str">
        <x:v>FECHADO</x:v>
      </x:c>
      <x:c r="H252" t="str">
        <x:v>ERP-ORBITA</x:v>
      </x:c>
    </x:row>
    <x:row r="253">
      <x:c r="A253" s="25" t="n">
        <x:v>45748</x:v>
      </x:c>
      <x:c r="B253" t="str">
        <x:v>3.04.01</x:v>
      </x:c>
      <x:c r="C253" t="str">
        <x:v>EBIT</x:v>
      </x:c>
      <x:c r="D253" t="str">
        <x:v>CONSOLIDADO</x:v>
      </x:c>
      <x:c r="E253" t="str">
        <x:v>BRL</x:v>
      </x:c>
      <x:c r="F253" s="26" t="n">
        <x:v>1.94</x:v>
      </x:c>
      <x:c r="G253" t="str">
        <x:v>FECHADO</x:v>
      </x:c>
      <x:c r="H253" t="str">
        <x:v>ERP-ORBITA</x:v>
      </x:c>
    </x:row>
    <x:row r="254">
      <x:c r="A254" s="25" t="n">
        <x:v>45748</x:v>
      </x:c>
      <x:c r="B254" t="str">
        <x:v>4.04.01</x:v>
      </x:c>
      <x:c r="C254" t="str">
        <x:v>Resultado financeiro líquido</x:v>
      </x:c>
      <x:c r="D254" t="str">
        <x:v>CONSOLIDADO</x:v>
      </x:c>
      <x:c r="E254" t="str">
        <x:v>BRL</x:v>
      </x:c>
      <x:c r="F254" s="26" t="n">
        <x:v>-0.691</x:v>
      </x:c>
      <x:c r="G254" t="str">
        <x:v>FECHADO</x:v>
      </x:c>
      <x:c r="H254" t="str">
        <x:v>ERP-ORBITA</x:v>
      </x:c>
    </x:row>
    <x:row r="255">
      <x:c r="A255" s="25" t="n">
        <x:v>45748</x:v>
      </x:c>
      <x:c r="B255" t="str">
        <x:v>3.05.01</x:v>
      </x:c>
      <x:c r="C255" t="str">
        <x:v>Lucro antes de IR/CS</x:v>
      </x:c>
      <x:c r="D255" t="str">
        <x:v>CONSOLIDADO</x:v>
      </x:c>
      <x:c r="E255" t="str">
        <x:v>BRL</x:v>
      </x:c>
      <x:c r="F255" s="26" t="n">
        <x:v>1.249</x:v>
      </x:c>
      <x:c r="G255" t="str">
        <x:v>FECHADO</x:v>
      </x:c>
      <x:c r="H255" t="str">
        <x:v>ERP-ORBITA</x:v>
      </x:c>
    </x:row>
    <x:row r="256">
      <x:c r="A256" s="25" t="n">
        <x:v>45748</x:v>
      </x:c>
      <x:c r="B256" t="str">
        <x:v>4.05.01</x:v>
      </x:c>
      <x:c r="C256" t="str">
        <x:v>IRPJ e CSLL</x:v>
      </x:c>
      <x:c r="D256" t="str">
        <x:v>CONSOLIDADO</x:v>
      </x:c>
      <x:c r="E256" t="str">
        <x:v>BRL</x:v>
      </x:c>
      <x:c r="F256" s="26" t="n">
        <x:v>-0.425</x:v>
      </x:c>
      <x:c r="G256" t="str">
        <x:v>FECHADO</x:v>
      </x:c>
      <x:c r="H256" t="str">
        <x:v>ERP-ORBITA</x:v>
      </x:c>
    </x:row>
    <x:row r="257">
      <x:c r="A257" s="25" t="n">
        <x:v>45748</x:v>
      </x:c>
      <x:c r="B257" t="str">
        <x:v>3.06.01</x:v>
      </x:c>
      <x:c r="C257" t="str">
        <x:v>Lucro líquido</x:v>
      </x:c>
      <x:c r="D257" t="str">
        <x:v>CONSOLIDADO</x:v>
      </x:c>
      <x:c r="E257" t="str">
        <x:v>BRL</x:v>
      </x:c>
      <x:c r="F257" s="26" t="n">
        <x:v>0.824</x:v>
      </x:c>
      <x:c r="G257" t="str">
        <x:v>FECHADO</x:v>
      </x:c>
      <x:c r="H257" t="str">
        <x:v>ERP-ORBITA</x:v>
      </x:c>
    </x:row>
    <x:row r="258">
      <x:c r="A258" s="25" t="n">
        <x:v>45778</x:v>
      </x:c>
      <x:c r="B258" t="str">
        <x:v>3.01.01</x:v>
      </x:c>
      <x:c r="C258" t="str">
        <x:v>Receita bruta de vendas</x:v>
      </x:c>
      <x:c r="D258" t="str">
        <x:v>CONSOLIDADO</x:v>
      </x:c>
      <x:c r="E258" t="str">
        <x:v>BRL</x:v>
      </x:c>
      <x:c r="F258" s="26" t="n">
        <x:v>15.5</x:v>
      </x:c>
      <x:c r="G258" t="str">
        <x:v>FECHADO</x:v>
      </x:c>
      <x:c r="H258" t="str">
        <x:v>ERP-ORBITA</x:v>
      </x:c>
    </x:row>
    <x:row r="259">
      <x:c r="A259" s="25" t="n">
        <x:v>45778</x:v>
      </x:c>
      <x:c r="B259" t="str">
        <x:v>3.01.02</x:v>
      </x:c>
      <x:c r="C259" t="str">
        <x:v>Deduções e impostos sobre vendas</x:v>
      </x:c>
      <x:c r="D259" t="str">
        <x:v>CONSOLIDADO</x:v>
      </x:c>
      <x:c r="E259" t="str">
        <x:v>BRL</x:v>
      </x:c>
      <x:c r="F259" s="26" t="n">
        <x:v>-0.62</x:v>
      </x:c>
      <x:c r="G259" t="str">
        <x:v>FECHADO</x:v>
      </x:c>
      <x:c r="H259" t="str">
        <x:v>ERP-ORBITA</x:v>
      </x:c>
    </x:row>
    <x:row r="260">
      <x:c r="A260" s="25" t="n">
        <x:v>45778</x:v>
      </x:c>
      <x:c r="B260" t="str">
        <x:v>3.01.03</x:v>
      </x:c>
      <x:c r="C260" t="str">
        <x:v>Receita líquida</x:v>
      </x:c>
      <x:c r="D260" t="str">
        <x:v>CONSOLIDADO</x:v>
      </x:c>
      <x:c r="E260" t="str">
        <x:v>BRL</x:v>
      </x:c>
      <x:c r="F260" s="26" t="n">
        <x:v>14.88</x:v>
      </x:c>
      <x:c r="G260" t="str">
        <x:v>FECHADO</x:v>
      </x:c>
      <x:c r="H260" t="str">
        <x:v>ERP-ORBITA</x:v>
      </x:c>
    </x:row>
    <x:row r="261">
      <x:c r="A261" s="25" t="n">
        <x:v>45778</x:v>
      </x:c>
      <x:c r="B261" t="str">
        <x:v>4.01.01</x:v>
      </x:c>
      <x:c r="C261" t="str">
        <x:v>Custo das mercadorias vendidas</x:v>
      </x:c>
      <x:c r="D261" t="str">
        <x:v>CONSOLIDADO</x:v>
      </x:c>
      <x:c r="E261" t="str">
        <x:v>BRL</x:v>
      </x:c>
      <x:c r="F261" s="26" t="n">
        <x:v>-10.059</x:v>
      </x:c>
      <x:c r="G261" t="str">
        <x:v>FECHADO</x:v>
      </x:c>
      <x:c r="H261" t="str">
        <x:v>ERP-ORBITA</x:v>
      </x:c>
    </x:row>
    <x:row r="262">
      <x:c r="A262" s="25" t="n">
        <x:v>45778</x:v>
      </x:c>
      <x:c r="B262" t="str">
        <x:v>3.02.01</x:v>
      </x:c>
      <x:c r="C262" t="str">
        <x:v>Lucro bruto</x:v>
      </x:c>
      <x:c r="D262" t="str">
        <x:v>CONSOLIDADO</x:v>
      </x:c>
      <x:c r="E262" t="str">
        <x:v>BRL</x:v>
      </x:c>
      <x:c r="F262" s="26" t="n">
        <x:v>4.821</x:v>
      </x:c>
      <x:c r="G262" t="str">
        <x:v>FECHADO</x:v>
      </x:c>
      <x:c r="H262" t="str">
        <x:v>ERP-ORBITA</x:v>
      </x:c>
    </x:row>
    <x:row r="263">
      <x:c r="A263" s="25" t="n">
        <x:v>45778</x:v>
      </x:c>
      <x:c r="B263" t="str">
        <x:v>4.02.01</x:v>
      </x:c>
      <x:c r="C263" t="str">
        <x:v>Pessoal</x:v>
      </x:c>
      <x:c r="D263" t="str">
        <x:v>CONSOLIDADO</x:v>
      </x:c>
      <x:c r="E263" t="str">
        <x:v>BRL</x:v>
      </x:c>
      <x:c r="F263" s="26" t="n">
        <x:v>-0.773</x:v>
      </x:c>
      <x:c r="G263" t="str">
        <x:v>FECHADO</x:v>
      </x:c>
      <x:c r="H263" t="str">
        <x:v>ERP-ORBITA</x:v>
      </x:c>
    </x:row>
    <x:row r="264">
      <x:c r="A264" s="25" t="n">
        <x:v>45778</x:v>
      </x:c>
      <x:c r="B264" t="str">
        <x:v>4.02.02</x:v>
      </x:c>
      <x:c r="C264" t="str">
        <x:v>Ocupação e utilidades</x:v>
      </x:c>
      <x:c r="D264" t="str">
        <x:v>CONSOLIDADO</x:v>
      </x:c>
      <x:c r="E264" t="str">
        <x:v>BRL</x:v>
      </x:c>
      <x:c r="F264" s="26" t="n">
        <x:v>-0.435</x:v>
      </x:c>
      <x:c r="G264" t="str">
        <x:v>FECHADO</x:v>
      </x:c>
      <x:c r="H264" t="str">
        <x:v>ERP-ORBITA</x:v>
      </x:c>
    </x:row>
    <x:row r="265">
      <x:c r="A265" s="25" t="n">
        <x:v>45778</x:v>
      </x:c>
      <x:c r="B265" t="str">
        <x:v>4.02.03</x:v>
      </x:c>
      <x:c r="C265" t="str">
        <x:v>Logística e tecnologia</x:v>
      </x:c>
      <x:c r="D265" t="str">
        <x:v>CONSOLIDADO</x:v>
      </x:c>
      <x:c r="E265" t="str">
        <x:v>BRL</x:v>
      </x:c>
      <x:c r="F265" s="26" t="n">
        <x:v>-0.435</x:v>
      </x:c>
      <x:c r="G265" t="str">
        <x:v>FECHADO</x:v>
      </x:c>
      <x:c r="H265" t="str">
        <x:v>ERP-ORBITA</x:v>
      </x:c>
    </x:row>
    <x:row r="266">
      <x:c r="A266" s="25" t="n">
        <x:v>45778</x:v>
      </x:c>
      <x:c r="B266" t="str">
        <x:v>4.02.04</x:v>
      </x:c>
      <x:c r="C266" t="str">
        <x:v>Despesas comerciais e administrativas</x:v>
      </x:c>
      <x:c r="D266" t="str">
        <x:v>CONSOLIDADO</x:v>
      </x:c>
      <x:c r="E266" t="str">
        <x:v>BRL</x:v>
      </x:c>
      <x:c r="F266" s="26" t="n">
        <x:v>-0.773</x:v>
      </x:c>
      <x:c r="G266" t="str">
        <x:v>FECHADO</x:v>
      </x:c>
      <x:c r="H266" t="str">
        <x:v>ERP-ORBITA</x:v>
      </x:c>
    </x:row>
    <x:row r="267">
      <x:c r="A267" s="25" t="n">
        <x:v>45778</x:v>
      </x:c>
      <x:c r="B267" t="str">
        <x:v>3.03.01</x:v>
      </x:c>
      <x:c r="C267" t="str">
        <x:v>EBITDA</x:v>
      </x:c>
      <x:c r="D267" t="str">
        <x:v>CONSOLIDADO</x:v>
      </x:c>
      <x:c r="E267" t="str">
        <x:v>BRL</x:v>
      </x:c>
      <x:c r="F267" s="26" t="n">
        <x:v>2.405</x:v>
      </x:c>
      <x:c r="G267" t="str">
        <x:v>FECHADO</x:v>
      </x:c>
      <x:c r="H267" t="str">
        <x:v>ERP-ORBITA</x:v>
      </x:c>
    </x:row>
    <x:row r="268">
      <x:c r="A268" s="25" t="n">
        <x:v>45778</x:v>
      </x:c>
      <x:c r="B268" t="str">
        <x:v>4.03.01</x:v>
      </x:c>
      <x:c r="C268" t="str">
        <x:v>Depreciação e amortização</x:v>
      </x:c>
      <x:c r="D268" t="str">
        <x:v>CONSOLIDADO</x:v>
      </x:c>
      <x:c r="E268" t="str">
        <x:v>BRL</x:v>
      </x:c>
      <x:c r="F268" s="26" t="n">
        <x:v>-0.417</x:v>
      </x:c>
      <x:c r="G268" t="str">
        <x:v>FECHADO</x:v>
      </x:c>
      <x:c r="H268" t="str">
        <x:v>ERP-ORBITA</x:v>
      </x:c>
    </x:row>
    <x:row r="269">
      <x:c r="A269" s="25" t="n">
        <x:v>45778</x:v>
      </x:c>
      <x:c r="B269" t="str">
        <x:v>3.04.01</x:v>
      </x:c>
      <x:c r="C269" t="str">
        <x:v>EBIT</x:v>
      </x:c>
      <x:c r="D269" t="str">
        <x:v>CONSOLIDADO</x:v>
      </x:c>
      <x:c r="E269" t="str">
        <x:v>BRL</x:v>
      </x:c>
      <x:c r="F269" s="26" t="n">
        <x:v>1.988</x:v>
      </x:c>
      <x:c r="G269" t="str">
        <x:v>FECHADO</x:v>
      </x:c>
      <x:c r="H269" t="str">
        <x:v>ERP-ORBITA</x:v>
      </x:c>
    </x:row>
    <x:row r="270">
      <x:c r="A270" s="25" t="n">
        <x:v>45778</x:v>
      </x:c>
      <x:c r="B270" t="str">
        <x:v>4.04.01</x:v>
      </x:c>
      <x:c r="C270" t="str">
        <x:v>Resultado financeiro líquido</x:v>
      </x:c>
      <x:c r="D270" t="str">
        <x:v>CONSOLIDADO</x:v>
      </x:c>
      <x:c r="E270" t="str">
        <x:v>BRL</x:v>
      </x:c>
      <x:c r="F270" s="26" t="n">
        <x:v>-0.699</x:v>
      </x:c>
      <x:c r="G270" t="str">
        <x:v>FECHADO</x:v>
      </x:c>
      <x:c r="H270" t="str">
        <x:v>ERP-ORBITA</x:v>
      </x:c>
    </x:row>
    <x:row r="271">
      <x:c r="A271" s="25" t="n">
        <x:v>45778</x:v>
      </x:c>
      <x:c r="B271" t="str">
        <x:v>3.05.01</x:v>
      </x:c>
      <x:c r="C271" t="str">
        <x:v>Lucro antes de IR/CS</x:v>
      </x:c>
      <x:c r="D271" t="str">
        <x:v>CONSOLIDADO</x:v>
      </x:c>
      <x:c r="E271" t="str">
        <x:v>BRL</x:v>
      </x:c>
      <x:c r="F271" s="26" t="n">
        <x:v>1.289</x:v>
      </x:c>
      <x:c r="G271" t="str">
        <x:v>FECHADO</x:v>
      </x:c>
      <x:c r="H271" t="str">
        <x:v>ERP-ORBITA</x:v>
      </x:c>
    </x:row>
    <x:row r="272">
      <x:c r="A272" s="25" t="n">
        <x:v>45778</x:v>
      </x:c>
      <x:c r="B272" t="str">
        <x:v>4.05.01</x:v>
      </x:c>
      <x:c r="C272" t="str">
        <x:v>IRPJ e CSLL</x:v>
      </x:c>
      <x:c r="D272" t="str">
        <x:v>CONSOLIDADO</x:v>
      </x:c>
      <x:c r="E272" t="str">
        <x:v>BRL</x:v>
      </x:c>
      <x:c r="F272" s="26" t="n">
        <x:v>-0.438</x:v>
      </x:c>
      <x:c r="G272" t="str">
        <x:v>FECHADO</x:v>
      </x:c>
      <x:c r="H272" t="str">
        <x:v>ERP-ORBITA</x:v>
      </x:c>
    </x:row>
    <x:row r="273">
      <x:c r="A273" s="25" t="n">
        <x:v>45778</x:v>
      </x:c>
      <x:c r="B273" t="str">
        <x:v>3.06.01</x:v>
      </x:c>
      <x:c r="C273" t="str">
        <x:v>Lucro líquido</x:v>
      </x:c>
      <x:c r="D273" t="str">
        <x:v>CONSOLIDADO</x:v>
      </x:c>
      <x:c r="E273" t="str">
        <x:v>BRL</x:v>
      </x:c>
      <x:c r="F273" s="26" t="n">
        <x:v>0.851</x:v>
      </x:c>
      <x:c r="G273" t="str">
        <x:v>FECHADO</x:v>
      </x:c>
      <x:c r="H273" t="str">
        <x:v>ERP-ORBITA</x:v>
      </x:c>
    </x:row>
    <x:row r="274">
      <x:c r="A274" s="25" t="n">
        <x:v>45809</x:v>
      </x:c>
      <x:c r="B274" t="str">
        <x:v>3.01.01</x:v>
      </x:c>
      <x:c r="C274" t="str">
        <x:v>Receita bruta de vendas</x:v>
      </x:c>
      <x:c r="D274" t="str">
        <x:v>CONSOLIDADO</x:v>
      </x:c>
      <x:c r="E274" t="str">
        <x:v>BRL</x:v>
      </x:c>
      <x:c r="F274" s="26" t="n">
        <x:v>15.694</x:v>
      </x:c>
      <x:c r="G274" t="str">
        <x:v>FECHADO</x:v>
      </x:c>
      <x:c r="H274" t="str">
        <x:v>ERP-ORBITA</x:v>
      </x:c>
    </x:row>
    <x:row r="275">
      <x:c r="A275" s="25" t="n">
        <x:v>45809</x:v>
      </x:c>
      <x:c r="B275" t="str">
        <x:v>3.01.02</x:v>
      </x:c>
      <x:c r="C275" t="str">
        <x:v>Deduções e impostos sobre vendas</x:v>
      </x:c>
      <x:c r="D275" t="str">
        <x:v>CONSOLIDADO</x:v>
      </x:c>
      <x:c r="E275" t="str">
        <x:v>BRL</x:v>
      </x:c>
      <x:c r="F275" s="26" t="n">
        <x:v>-0.628</x:v>
      </x:c>
      <x:c r="G275" t="str">
        <x:v>FECHADO</x:v>
      </x:c>
      <x:c r="H275" t="str">
        <x:v>ERP-ORBITA</x:v>
      </x:c>
    </x:row>
    <x:row r="276">
      <x:c r="A276" s="25" t="n">
        <x:v>45809</x:v>
      </x:c>
      <x:c r="B276" t="str">
        <x:v>3.01.03</x:v>
      </x:c>
      <x:c r="C276" t="str">
        <x:v>Receita líquida</x:v>
      </x:c>
      <x:c r="D276" t="str">
        <x:v>CONSOLIDADO</x:v>
      </x:c>
      <x:c r="E276" t="str">
        <x:v>BRL</x:v>
      </x:c>
      <x:c r="F276" s="26" t="n">
        <x:v>15.066</x:v>
      </x:c>
      <x:c r="G276" t="str">
        <x:v>FECHADO</x:v>
      </x:c>
      <x:c r="H276" t="str">
        <x:v>ERP-ORBITA</x:v>
      </x:c>
    </x:row>
    <x:row r="277">
      <x:c r="A277" s="25" t="n">
        <x:v>45809</x:v>
      </x:c>
      <x:c r="B277" t="str">
        <x:v>4.01.01</x:v>
      </x:c>
      <x:c r="C277" t="str">
        <x:v>Custo das mercadorias vendidas</x:v>
      </x:c>
      <x:c r="D277" t="str">
        <x:v>CONSOLIDADO</x:v>
      </x:c>
      <x:c r="E277" t="str">
        <x:v>BRL</x:v>
      </x:c>
      <x:c r="F277" s="26" t="n">
        <x:v>-10.185</x:v>
      </x:c>
      <x:c r="G277" t="str">
        <x:v>FECHADO</x:v>
      </x:c>
      <x:c r="H277" t="str">
        <x:v>ERP-ORBITA</x:v>
      </x:c>
    </x:row>
    <x:row r="278">
      <x:c r="A278" s="25" t="n">
        <x:v>45809</x:v>
      </x:c>
      <x:c r="B278" t="str">
        <x:v>3.02.01</x:v>
      </x:c>
      <x:c r="C278" t="str">
        <x:v>Lucro bruto</x:v>
      </x:c>
      <x:c r="D278" t="str">
        <x:v>CONSOLIDADO</x:v>
      </x:c>
      <x:c r="E278" t="str">
        <x:v>BRL</x:v>
      </x:c>
      <x:c r="F278" s="26" t="n">
        <x:v>4.881</x:v>
      </x:c>
      <x:c r="G278" t="str">
        <x:v>FECHADO</x:v>
      </x:c>
      <x:c r="H278" t="str">
        <x:v>ERP-ORBITA</x:v>
      </x:c>
    </x:row>
    <x:row r="279">
      <x:c r="A279" s="25" t="n">
        <x:v>45809</x:v>
      </x:c>
      <x:c r="B279" t="str">
        <x:v>4.02.01</x:v>
      </x:c>
      <x:c r="C279" t="str">
        <x:v>Pessoal</x:v>
      </x:c>
      <x:c r="D279" t="str">
        <x:v>CONSOLIDADO</x:v>
      </x:c>
      <x:c r="E279" t="str">
        <x:v>BRL</x:v>
      </x:c>
      <x:c r="F279" s="26" t="n">
        <x:v>-0.775</x:v>
      </x:c>
      <x:c r="G279" t="str">
        <x:v>FECHADO</x:v>
      </x:c>
      <x:c r="H279" t="str">
        <x:v>ERP-ORBITA</x:v>
      </x:c>
    </x:row>
    <x:row r="280">
      <x:c r="A280" s="25" t="n">
        <x:v>45809</x:v>
      </x:c>
      <x:c r="B280" t="str">
        <x:v>4.02.02</x:v>
      </x:c>
      <x:c r="C280" t="str">
        <x:v>Ocupação e utilidades</x:v>
      </x:c>
      <x:c r="D280" t="str">
        <x:v>CONSOLIDADO</x:v>
      </x:c>
      <x:c r="E280" t="str">
        <x:v>BRL</x:v>
      </x:c>
      <x:c r="F280" s="26" t="n">
        <x:v>-0.436</x:v>
      </x:c>
      <x:c r="G280" t="str">
        <x:v>FECHADO</x:v>
      </x:c>
      <x:c r="H280" t="str">
        <x:v>ERP-ORBITA</x:v>
      </x:c>
    </x:row>
    <x:row r="281">
      <x:c r="A281" s="25" t="n">
        <x:v>45809</x:v>
      </x:c>
      <x:c r="B281" t="str">
        <x:v>4.02.03</x:v>
      </x:c>
      <x:c r="C281" t="str">
        <x:v>Logística e tecnologia</x:v>
      </x:c>
      <x:c r="D281" t="str">
        <x:v>CONSOLIDADO</x:v>
      </x:c>
      <x:c r="E281" t="str">
        <x:v>BRL</x:v>
      </x:c>
      <x:c r="F281" s="26" t="n">
        <x:v>-0.436</x:v>
      </x:c>
      <x:c r="G281" t="str">
        <x:v>FECHADO</x:v>
      </x:c>
      <x:c r="H281" t="str">
        <x:v>ERP-ORBITA</x:v>
      </x:c>
    </x:row>
    <x:row r="282">
      <x:c r="A282" s="25" t="n">
        <x:v>45809</x:v>
      </x:c>
      <x:c r="B282" t="str">
        <x:v>4.02.04</x:v>
      </x:c>
      <x:c r="C282" t="str">
        <x:v>Despesas comerciais e administrativas</x:v>
      </x:c>
      <x:c r="D282" t="str">
        <x:v>CONSOLIDADO</x:v>
      </x:c>
      <x:c r="E282" t="str">
        <x:v>BRL</x:v>
      </x:c>
      <x:c r="F282" s="26" t="n">
        <x:v>-0.775</x:v>
      </x:c>
      <x:c r="G282" t="str">
        <x:v>FECHADO</x:v>
      </x:c>
      <x:c r="H282" t="str">
        <x:v>ERP-ORBITA</x:v>
      </x:c>
    </x:row>
    <x:row r="283">
      <x:c r="A283" s="25" t="n">
        <x:v>45809</x:v>
      </x:c>
      <x:c r="B283" t="str">
        <x:v>3.03.01</x:v>
      </x:c>
      <x:c r="C283" t="str">
        <x:v>EBITDA</x:v>
      </x:c>
      <x:c r="D283" t="str">
        <x:v>CONSOLIDADO</x:v>
      </x:c>
      <x:c r="E283" t="str">
        <x:v>BRL</x:v>
      </x:c>
      <x:c r="F283" s="26" t="n">
        <x:v>2.46</x:v>
      </x:c>
      <x:c r="G283" t="str">
        <x:v>FECHADO</x:v>
      </x:c>
      <x:c r="H283" t="str">
        <x:v>ERP-ORBITA</x:v>
      </x:c>
    </x:row>
    <x:row r="284">
      <x:c r="A284" s="25" t="n">
        <x:v>45809</x:v>
      </x:c>
      <x:c r="B284" t="str">
        <x:v>4.03.01</x:v>
      </x:c>
      <x:c r="C284" t="str">
        <x:v>Depreciação e amortização</x:v>
      </x:c>
      <x:c r="D284" t="str">
        <x:v>CONSOLIDADO</x:v>
      </x:c>
      <x:c r="E284" t="str">
        <x:v>BRL</x:v>
      </x:c>
      <x:c r="F284" s="26" t="n">
        <x:v>-0.422</x:v>
      </x:c>
      <x:c r="G284" t="str">
        <x:v>FECHADO</x:v>
      </x:c>
      <x:c r="H284" t="str">
        <x:v>ERP-ORBITA</x:v>
      </x:c>
    </x:row>
    <x:row r="285">
      <x:c r="A285" s="25" t="n">
        <x:v>45809</x:v>
      </x:c>
      <x:c r="B285" t="str">
        <x:v>3.04.01</x:v>
      </x:c>
      <x:c r="C285" t="str">
        <x:v>EBIT</x:v>
      </x:c>
      <x:c r="D285" t="str">
        <x:v>CONSOLIDADO</x:v>
      </x:c>
      <x:c r="E285" t="str">
        <x:v>BRL</x:v>
      </x:c>
      <x:c r="F285" s="26" t="n">
        <x:v>2.038</x:v>
      </x:c>
      <x:c r="G285" t="str">
        <x:v>FECHADO</x:v>
      </x:c>
      <x:c r="H285" t="str">
        <x:v>ERP-ORBITA</x:v>
      </x:c>
    </x:row>
    <x:row r="286">
      <x:c r="A286" s="25" t="n">
        <x:v>45809</x:v>
      </x:c>
      <x:c r="B286" t="str">
        <x:v>4.04.01</x:v>
      </x:c>
      <x:c r="C286" t="str">
        <x:v>Resultado financeiro líquido</x:v>
      </x:c>
      <x:c r="D286" t="str">
        <x:v>CONSOLIDADO</x:v>
      </x:c>
      <x:c r="E286" t="str">
        <x:v>BRL</x:v>
      </x:c>
      <x:c r="F286" s="26" t="n">
        <x:v>-0.708</x:v>
      </x:c>
      <x:c r="G286" t="str">
        <x:v>FECHADO</x:v>
      </x:c>
      <x:c r="H286" t="str">
        <x:v>ERP-ORBITA</x:v>
      </x:c>
    </x:row>
    <x:row r="287">
      <x:c r="A287" s="25" t="n">
        <x:v>45809</x:v>
      </x:c>
      <x:c r="B287" t="str">
        <x:v>3.05.01</x:v>
      </x:c>
      <x:c r="C287" t="str">
        <x:v>Lucro antes de IR/CS</x:v>
      </x:c>
      <x:c r="D287" t="str">
        <x:v>CONSOLIDADO</x:v>
      </x:c>
      <x:c r="E287" t="str">
        <x:v>BRL</x:v>
      </x:c>
      <x:c r="F287" s="26" t="n">
        <x:v>1.33</x:v>
      </x:c>
      <x:c r="G287" t="str">
        <x:v>FECHADO</x:v>
      </x:c>
      <x:c r="H287" t="str">
        <x:v>ERP-ORBITA</x:v>
      </x:c>
    </x:row>
    <x:row r="288">
      <x:c r="A288" s="25" t="n">
        <x:v>45809</x:v>
      </x:c>
      <x:c r="B288" t="str">
        <x:v>4.05.01</x:v>
      </x:c>
      <x:c r="C288" t="str">
        <x:v>IRPJ e CSLL</x:v>
      </x:c>
      <x:c r="D288" t="str">
        <x:v>CONSOLIDADO</x:v>
      </x:c>
      <x:c r="E288" t="str">
        <x:v>BRL</x:v>
      </x:c>
      <x:c r="F288" s="26" t="n">
        <x:v>-0.452</x:v>
      </x:c>
      <x:c r="G288" t="str">
        <x:v>FECHADO</x:v>
      </x:c>
      <x:c r="H288" t="str">
        <x:v>ERP-ORBITA</x:v>
      </x:c>
    </x:row>
    <x:row r="289">
      <x:c r="A289" s="25" t="n">
        <x:v>45809</x:v>
      </x:c>
      <x:c r="B289" t="str">
        <x:v>3.06.01</x:v>
      </x:c>
      <x:c r="C289" t="str">
        <x:v>Lucro líquido</x:v>
      </x:c>
      <x:c r="D289" t="str">
        <x:v>CONSOLIDADO</x:v>
      </x:c>
      <x:c r="E289" t="str">
        <x:v>BRL</x:v>
      </x:c>
      <x:c r="F289" s="26" t="n">
        <x:v>0.878</x:v>
      </x:c>
      <x:c r="G289" t="str">
        <x:v>FECHADO</x:v>
      </x:c>
      <x:c r="H289" t="str">
        <x:v>ERP-ORBITA</x:v>
      </x:c>
    </x:row>
    <x:row r="290">
      <x:c r="A290" s="25" t="n">
        <x:v>45839</x:v>
      </x:c>
      <x:c r="B290" t="str">
        <x:v>3.01.01</x:v>
      </x:c>
      <x:c r="C290" t="str">
        <x:v>Receita bruta de vendas</x:v>
      </x:c>
      <x:c r="D290" t="str">
        <x:v>CONSOLIDADO</x:v>
      </x:c>
      <x:c r="E290" t="str">
        <x:v>BRL</x:v>
      </x:c>
      <x:c r="F290" s="26" t="n">
        <x:v>15.888</x:v>
      </x:c>
      <x:c r="G290" t="str">
        <x:v>FECHADO</x:v>
      </x:c>
      <x:c r="H290" t="str">
        <x:v>ERP-ORBITA</x:v>
      </x:c>
    </x:row>
    <x:row r="291">
      <x:c r="A291" s="25" t="n">
        <x:v>45839</x:v>
      </x:c>
      <x:c r="B291" t="str">
        <x:v>3.01.02</x:v>
      </x:c>
      <x:c r="C291" t="str">
        <x:v>Deduções e impostos sobre vendas</x:v>
      </x:c>
      <x:c r="D291" t="str">
        <x:v>CONSOLIDADO</x:v>
      </x:c>
      <x:c r="E291" t="str">
        <x:v>BRL</x:v>
      </x:c>
      <x:c r="F291" s="26" t="n">
        <x:v>-0.636</x:v>
      </x:c>
      <x:c r="G291" t="str">
        <x:v>FECHADO</x:v>
      </x:c>
      <x:c r="H291" t="str">
        <x:v>ERP-ORBITA</x:v>
      </x:c>
    </x:row>
    <x:row r="292">
      <x:c r="A292" s="25" t="n">
        <x:v>45839</x:v>
      </x:c>
      <x:c r="B292" t="str">
        <x:v>3.01.03</x:v>
      </x:c>
      <x:c r="C292" t="str">
        <x:v>Receita líquida</x:v>
      </x:c>
      <x:c r="D292" t="str">
        <x:v>CONSOLIDADO</x:v>
      </x:c>
      <x:c r="E292" t="str">
        <x:v>BRL</x:v>
      </x:c>
      <x:c r="F292" s="26" t="n">
        <x:v>15.252</x:v>
      </x:c>
      <x:c r="G292" t="str">
        <x:v>FECHADO</x:v>
      </x:c>
      <x:c r="H292" t="str">
        <x:v>ERP-ORBITA</x:v>
      </x:c>
    </x:row>
    <x:row r="293">
      <x:c r="A293" s="25" t="n">
        <x:v>45839</x:v>
      </x:c>
      <x:c r="B293" t="str">
        <x:v>4.01.01</x:v>
      </x:c>
      <x:c r="C293" t="str">
        <x:v>Custo das mercadorias vendidas</x:v>
      </x:c>
      <x:c r="D293" t="str">
        <x:v>CONSOLIDADO</x:v>
      </x:c>
      <x:c r="E293" t="str">
        <x:v>BRL</x:v>
      </x:c>
      <x:c r="F293" s="26" t="n">
        <x:v>-10.31</x:v>
      </x:c>
      <x:c r="G293" t="str">
        <x:v>FECHADO</x:v>
      </x:c>
      <x:c r="H293" t="str">
        <x:v>ERP-ORBITA</x:v>
      </x:c>
    </x:row>
    <x:row r="294">
      <x:c r="A294" s="25" t="n">
        <x:v>45839</x:v>
      </x:c>
      <x:c r="B294" t="str">
        <x:v>3.02.01</x:v>
      </x:c>
      <x:c r="C294" t="str">
        <x:v>Lucro bruto</x:v>
      </x:c>
      <x:c r="D294" t="str">
        <x:v>CONSOLIDADO</x:v>
      </x:c>
      <x:c r="E294" t="str">
        <x:v>BRL</x:v>
      </x:c>
      <x:c r="F294" s="26" t="n">
        <x:v>4.942</x:v>
      </x:c>
      <x:c r="G294" t="str">
        <x:v>FECHADO</x:v>
      </x:c>
      <x:c r="H294" t="str">
        <x:v>ERP-ORBITA</x:v>
      </x:c>
    </x:row>
    <x:row r="295">
      <x:c r="A295" s="25" t="n">
        <x:v>45839</x:v>
      </x:c>
      <x:c r="B295" t="str">
        <x:v>4.02.01</x:v>
      </x:c>
      <x:c r="C295" t="str">
        <x:v>Pessoal</x:v>
      </x:c>
      <x:c r="D295" t="str">
        <x:v>CONSOLIDADO</x:v>
      </x:c>
      <x:c r="E295" t="str">
        <x:v>BRL</x:v>
      </x:c>
      <x:c r="F295" s="26" t="n">
        <x:v>-0.776</x:v>
      </x:c>
      <x:c r="G295" t="str">
        <x:v>FECHADO</x:v>
      </x:c>
      <x:c r="H295" t="str">
        <x:v>ERP-ORBITA</x:v>
      </x:c>
    </x:row>
    <x:row r="296">
      <x:c r="A296" s="25" t="n">
        <x:v>45839</x:v>
      </x:c>
      <x:c r="B296" t="str">
        <x:v>4.02.02</x:v>
      </x:c>
      <x:c r="C296" t="str">
        <x:v>Ocupação e utilidades</x:v>
      </x:c>
      <x:c r="D296" t="str">
        <x:v>CONSOLIDADO</x:v>
      </x:c>
      <x:c r="E296" t="str">
        <x:v>BRL</x:v>
      </x:c>
      <x:c r="F296" s="26" t="n">
        <x:v>-0.437</x:v>
      </x:c>
      <x:c r="G296" t="str">
        <x:v>FECHADO</x:v>
      </x:c>
      <x:c r="H296" t="str">
        <x:v>ERP-ORBITA</x:v>
      </x:c>
    </x:row>
    <x:row r="297">
      <x:c r="A297" s="25" t="n">
        <x:v>45839</x:v>
      </x:c>
      <x:c r="B297" t="str">
        <x:v>4.02.03</x:v>
      </x:c>
      <x:c r="C297" t="str">
        <x:v>Logística e tecnologia</x:v>
      </x:c>
      <x:c r="D297" t="str">
        <x:v>CONSOLIDADO</x:v>
      </x:c>
      <x:c r="E297" t="str">
        <x:v>BRL</x:v>
      </x:c>
      <x:c r="F297" s="26" t="n">
        <x:v>-0.437</x:v>
      </x:c>
      <x:c r="G297" t="str">
        <x:v>FECHADO</x:v>
      </x:c>
      <x:c r="H297" t="str">
        <x:v>ERP-ORBITA</x:v>
      </x:c>
    </x:row>
    <x:row r="298">
      <x:c r="A298" s="25" t="n">
        <x:v>45839</x:v>
      </x:c>
      <x:c r="B298" t="str">
        <x:v>4.02.04</x:v>
      </x:c>
      <x:c r="C298" t="str">
        <x:v>Despesas comerciais e administrativas</x:v>
      </x:c>
      <x:c r="D298" t="str">
        <x:v>CONSOLIDADO</x:v>
      </x:c>
      <x:c r="E298" t="str">
        <x:v>BRL</x:v>
      </x:c>
      <x:c r="F298" s="26" t="n">
        <x:v>-0.776</x:v>
      </x:c>
      <x:c r="G298" t="str">
        <x:v>FECHADO</x:v>
      </x:c>
      <x:c r="H298" t="str">
        <x:v>ERP-ORBITA</x:v>
      </x:c>
    </x:row>
    <x:row r="299">
      <x:c r="A299" s="25" t="n">
        <x:v>45839</x:v>
      </x:c>
      <x:c r="B299" t="str">
        <x:v>3.03.01</x:v>
      </x:c>
      <x:c r="C299" t="str">
        <x:v>EBITDA</x:v>
      </x:c>
      <x:c r="D299" t="str">
        <x:v>CONSOLIDADO</x:v>
      </x:c>
      <x:c r="E299" t="str">
        <x:v>BRL</x:v>
      </x:c>
      <x:c r="F299" s="26" t="n">
        <x:v>2.516</x:v>
      </x:c>
      <x:c r="G299" t="str">
        <x:v>FECHADO</x:v>
      </x:c>
      <x:c r="H299" t="str">
        <x:v>ERP-ORBITA</x:v>
      </x:c>
    </x:row>
    <x:row r="300">
      <x:c r="A300" s="25" t="n">
        <x:v>45839</x:v>
      </x:c>
      <x:c r="B300" t="str">
        <x:v>4.03.01</x:v>
      </x:c>
      <x:c r="C300" t="str">
        <x:v>Depreciação e amortização</x:v>
      </x:c>
      <x:c r="D300" t="str">
        <x:v>CONSOLIDADO</x:v>
      </x:c>
      <x:c r="E300" t="str">
        <x:v>BRL</x:v>
      </x:c>
      <x:c r="F300" s="26" t="n">
        <x:v>-0.427</x:v>
      </x:c>
      <x:c r="G300" t="str">
        <x:v>FECHADO</x:v>
      </x:c>
      <x:c r="H300" t="str">
        <x:v>ERP-ORBITA</x:v>
      </x:c>
    </x:row>
    <x:row r="301">
      <x:c r="A301" s="25" t="n">
        <x:v>45839</x:v>
      </x:c>
      <x:c r="B301" t="str">
        <x:v>3.04.01</x:v>
      </x:c>
      <x:c r="C301" t="str">
        <x:v>EBIT</x:v>
      </x:c>
      <x:c r="D301" t="str">
        <x:v>CONSOLIDADO</x:v>
      </x:c>
      <x:c r="E301" t="str">
        <x:v>BRL</x:v>
      </x:c>
      <x:c r="F301" s="26" t="n">
        <x:v>2.089</x:v>
      </x:c>
      <x:c r="G301" t="str">
        <x:v>FECHADO</x:v>
      </x:c>
      <x:c r="H301" t="str">
        <x:v>ERP-ORBITA</x:v>
      </x:c>
    </x:row>
    <x:row r="302">
      <x:c r="A302" s="25" t="n">
        <x:v>45839</x:v>
      </x:c>
      <x:c r="B302" t="str">
        <x:v>4.04.01</x:v>
      </x:c>
      <x:c r="C302" t="str">
        <x:v>Resultado financeiro líquido</x:v>
      </x:c>
      <x:c r="D302" t="str">
        <x:v>CONSOLIDADO</x:v>
      </x:c>
      <x:c r="E302" t="str">
        <x:v>BRL</x:v>
      </x:c>
      <x:c r="F302" s="26" t="n">
        <x:v>-0.717</x:v>
      </x:c>
      <x:c r="G302" t="str">
        <x:v>FECHADO</x:v>
      </x:c>
      <x:c r="H302" t="str">
        <x:v>ERP-ORBITA</x:v>
      </x:c>
    </x:row>
    <x:row r="303">
      <x:c r="A303" s="25" t="n">
        <x:v>45839</x:v>
      </x:c>
      <x:c r="B303" t="str">
        <x:v>3.05.01</x:v>
      </x:c>
      <x:c r="C303" t="str">
        <x:v>Lucro antes de IR/CS</x:v>
      </x:c>
      <x:c r="D303" t="str">
        <x:v>CONSOLIDADO</x:v>
      </x:c>
      <x:c r="E303" t="str">
        <x:v>BRL</x:v>
      </x:c>
      <x:c r="F303" s="26" t="n">
        <x:v>1.372</x:v>
      </x:c>
      <x:c r="G303" t="str">
        <x:v>FECHADO</x:v>
      </x:c>
      <x:c r="H303" t="str">
        <x:v>ERP-ORBITA</x:v>
      </x:c>
    </x:row>
    <x:row r="304">
      <x:c r="A304" s="25" t="n">
        <x:v>45839</x:v>
      </x:c>
      <x:c r="B304" t="str">
        <x:v>4.05.01</x:v>
      </x:c>
      <x:c r="C304" t="str">
        <x:v>IRPJ e CSLL</x:v>
      </x:c>
      <x:c r="D304" t="str">
        <x:v>CONSOLIDADO</x:v>
      </x:c>
      <x:c r="E304" t="str">
        <x:v>BRL</x:v>
      </x:c>
      <x:c r="F304" s="26" t="n">
        <x:v>-0.467</x:v>
      </x:c>
      <x:c r="G304" t="str">
        <x:v>FECHADO</x:v>
      </x:c>
      <x:c r="H304" t="str">
        <x:v>ERP-ORBITA</x:v>
      </x:c>
    </x:row>
    <x:row r="305">
      <x:c r="A305" s="25" t="n">
        <x:v>45839</x:v>
      </x:c>
      <x:c r="B305" t="str">
        <x:v>3.06.01</x:v>
      </x:c>
      <x:c r="C305" t="str">
        <x:v>Lucro líquido</x:v>
      </x:c>
      <x:c r="D305" t="str">
        <x:v>CONSOLIDADO</x:v>
      </x:c>
      <x:c r="E305" t="str">
        <x:v>BRL</x:v>
      </x:c>
      <x:c r="F305" s="26" t="n">
        <x:v>0.906</x:v>
      </x:c>
      <x:c r="G305" t="str">
        <x:v>FECHADO</x:v>
      </x:c>
      <x:c r="H305" t="str">
        <x:v>ERP-ORBITA</x:v>
      </x:c>
    </x:row>
    <x:row r="306">
      <x:c r="A306" s="25" t="n">
        <x:v>45870</x:v>
      </x:c>
      <x:c r="B306" t="str">
        <x:v>3.01.01</x:v>
      </x:c>
      <x:c r="C306" t="str">
        <x:v>Receita bruta de vendas</x:v>
      </x:c>
      <x:c r="D306" t="str">
        <x:v>CONSOLIDADO</x:v>
      </x:c>
      <x:c r="E306" t="str">
        <x:v>BRL</x:v>
      </x:c>
      <x:c r="F306" s="26" t="n">
        <x:v>16.081</x:v>
      </x:c>
      <x:c r="G306" t="str">
        <x:v>FECHADO</x:v>
      </x:c>
      <x:c r="H306" t="str">
        <x:v>ERP-ORBITA</x:v>
      </x:c>
    </x:row>
    <x:row r="307">
      <x:c r="A307" s="25" t="n">
        <x:v>45870</x:v>
      </x:c>
      <x:c r="B307" t="str">
        <x:v>3.01.02</x:v>
      </x:c>
      <x:c r="C307" t="str">
        <x:v>Deduções e impostos sobre vendas</x:v>
      </x:c>
      <x:c r="D307" t="str">
        <x:v>CONSOLIDADO</x:v>
      </x:c>
      <x:c r="E307" t="str">
        <x:v>BRL</x:v>
      </x:c>
      <x:c r="F307" s="26" t="n">
        <x:v>-0.643</x:v>
      </x:c>
      <x:c r="G307" t="str">
        <x:v>FECHADO</x:v>
      </x:c>
      <x:c r="H307" t="str">
        <x:v>ERP-ORBITA</x:v>
      </x:c>
    </x:row>
    <x:row r="308">
      <x:c r="A308" s="25" t="n">
        <x:v>45870</x:v>
      </x:c>
      <x:c r="B308" t="str">
        <x:v>3.01.03</x:v>
      </x:c>
      <x:c r="C308" t="str">
        <x:v>Receita líquida</x:v>
      </x:c>
      <x:c r="D308" t="str">
        <x:v>CONSOLIDADO</x:v>
      </x:c>
      <x:c r="E308" t="str">
        <x:v>BRL</x:v>
      </x:c>
      <x:c r="F308" s="26" t="n">
        <x:v>15.438</x:v>
      </x:c>
      <x:c r="G308" t="str">
        <x:v>FECHADO</x:v>
      </x:c>
      <x:c r="H308" t="str">
        <x:v>ERP-ORBITA</x:v>
      </x:c>
    </x:row>
    <x:row r="309">
      <x:c r="A309" s="25" t="n">
        <x:v>45870</x:v>
      </x:c>
      <x:c r="B309" t="str">
        <x:v>4.01.01</x:v>
      </x:c>
      <x:c r="C309" t="str">
        <x:v>Custo das mercadorias vendidas</x:v>
      </x:c>
      <x:c r="D309" t="str">
        <x:v>CONSOLIDADO</x:v>
      </x:c>
      <x:c r="E309" t="str">
        <x:v>BRL</x:v>
      </x:c>
      <x:c r="F309" s="26" t="n">
        <x:v>-10.436</x:v>
      </x:c>
      <x:c r="G309" t="str">
        <x:v>FECHADO</x:v>
      </x:c>
      <x:c r="H309" t="str">
        <x:v>ERP-ORBITA</x:v>
      </x:c>
    </x:row>
    <x:row r="310">
      <x:c r="A310" s="25" t="n">
        <x:v>45870</x:v>
      </x:c>
      <x:c r="B310" t="str">
        <x:v>3.02.01</x:v>
      </x:c>
      <x:c r="C310" t="str">
        <x:v>Lucro bruto</x:v>
      </x:c>
      <x:c r="D310" t="str">
        <x:v>CONSOLIDADO</x:v>
      </x:c>
      <x:c r="E310" t="str">
        <x:v>BRL</x:v>
      </x:c>
      <x:c r="F310" s="26" t="n">
        <x:v>5.002</x:v>
      </x:c>
      <x:c r="G310" t="str">
        <x:v>FECHADO</x:v>
      </x:c>
      <x:c r="H310" t="str">
        <x:v>ERP-ORBITA</x:v>
      </x:c>
    </x:row>
    <x:row r="311">
      <x:c r="A311" s="25" t="n">
        <x:v>45870</x:v>
      </x:c>
      <x:c r="B311" t="str">
        <x:v>4.02.01</x:v>
      </x:c>
      <x:c r="C311" t="str">
        <x:v>Pessoal</x:v>
      </x:c>
      <x:c r="D311" t="str">
        <x:v>CONSOLIDADO</x:v>
      </x:c>
      <x:c r="E311" t="str">
        <x:v>BRL</x:v>
      </x:c>
      <x:c r="F311" s="26" t="n">
        <x:v>-0.778</x:v>
      </x:c>
      <x:c r="G311" t="str">
        <x:v>FECHADO</x:v>
      </x:c>
      <x:c r="H311" t="str">
        <x:v>ERP-ORBITA</x:v>
      </x:c>
    </x:row>
    <x:row r="312">
      <x:c r="A312" s="25" t="n">
        <x:v>45870</x:v>
      </x:c>
      <x:c r="B312" t="str">
        <x:v>4.02.02</x:v>
      </x:c>
      <x:c r="C312" t="str">
        <x:v>Ocupação e utilidades</x:v>
      </x:c>
      <x:c r="D312" t="str">
        <x:v>CONSOLIDADO</x:v>
      </x:c>
      <x:c r="E312" t="str">
        <x:v>BRL</x:v>
      </x:c>
      <x:c r="F312" s="26" t="n">
        <x:v>-0.437</x:v>
      </x:c>
      <x:c r="G312" t="str">
        <x:v>FECHADO</x:v>
      </x:c>
      <x:c r="H312" t="str">
        <x:v>ERP-ORBITA</x:v>
      </x:c>
    </x:row>
    <x:row r="313">
      <x:c r="A313" s="25" t="n">
        <x:v>45870</x:v>
      </x:c>
      <x:c r="B313" t="str">
        <x:v>4.02.03</x:v>
      </x:c>
      <x:c r="C313" t="str">
        <x:v>Logística e tecnologia</x:v>
      </x:c>
      <x:c r="D313" t="str">
        <x:v>CONSOLIDADO</x:v>
      </x:c>
      <x:c r="E313" t="str">
        <x:v>BRL</x:v>
      </x:c>
      <x:c r="F313" s="26" t="n">
        <x:v>-0.437</x:v>
      </x:c>
      <x:c r="G313" t="str">
        <x:v>FECHADO</x:v>
      </x:c>
      <x:c r="H313" t="str">
        <x:v>ERP-ORBITA</x:v>
      </x:c>
    </x:row>
    <x:row r="314">
      <x:c r="A314" s="25" t="n">
        <x:v>45870</x:v>
      </x:c>
      <x:c r="B314" t="str">
        <x:v>4.02.04</x:v>
      </x:c>
      <x:c r="C314" t="str">
        <x:v>Despesas comerciais e administrativas</x:v>
      </x:c>
      <x:c r="D314" t="str">
        <x:v>CONSOLIDADO</x:v>
      </x:c>
      <x:c r="E314" t="str">
        <x:v>BRL</x:v>
      </x:c>
      <x:c r="F314" s="26" t="n">
        <x:v>-0.778</x:v>
      </x:c>
      <x:c r="G314" t="str">
        <x:v>FECHADO</x:v>
      </x:c>
      <x:c r="H314" t="str">
        <x:v>ERP-ORBITA</x:v>
      </x:c>
    </x:row>
    <x:row r="315">
      <x:c r="A315" s="25" t="n">
        <x:v>45870</x:v>
      </x:c>
      <x:c r="B315" t="str">
        <x:v>3.03.01</x:v>
      </x:c>
      <x:c r="C315" t="str">
        <x:v>EBITDA</x:v>
      </x:c>
      <x:c r="D315" t="str">
        <x:v>CONSOLIDADO</x:v>
      </x:c>
      <x:c r="E315" t="str">
        <x:v>BRL</x:v>
      </x:c>
      <x:c r="F315" s="26" t="n">
        <x:v>2.572</x:v>
      </x:c>
      <x:c r="G315" t="str">
        <x:v>FECHADO</x:v>
      </x:c>
      <x:c r="H315" t="str">
        <x:v>ERP-ORBITA</x:v>
      </x:c>
    </x:row>
    <x:row r="316">
      <x:c r="A316" s="25" t="n">
        <x:v>45870</x:v>
      </x:c>
      <x:c r="B316" t="str">
        <x:v>4.03.01</x:v>
      </x:c>
      <x:c r="C316" t="str">
        <x:v>Depreciação e amortização</x:v>
      </x:c>
      <x:c r="D316" t="str">
        <x:v>CONSOLIDADO</x:v>
      </x:c>
      <x:c r="E316" t="str">
        <x:v>BRL</x:v>
      </x:c>
      <x:c r="F316" s="26" t="n">
        <x:v>-0.432</x:v>
      </x:c>
      <x:c r="G316" t="str">
        <x:v>FECHADO</x:v>
      </x:c>
      <x:c r="H316" t="str">
        <x:v>ERP-ORBITA</x:v>
      </x:c>
    </x:row>
    <x:row r="317">
      <x:c r="A317" s="25" t="n">
        <x:v>45870</x:v>
      </x:c>
      <x:c r="B317" t="str">
        <x:v>3.04.01</x:v>
      </x:c>
      <x:c r="C317" t="str">
        <x:v>EBIT</x:v>
      </x:c>
      <x:c r="D317" t="str">
        <x:v>CONSOLIDADO</x:v>
      </x:c>
      <x:c r="E317" t="str">
        <x:v>BRL</x:v>
      </x:c>
      <x:c r="F317" s="26" t="n">
        <x:v>2.14</x:v>
      </x:c>
      <x:c r="G317" t="str">
        <x:v>FECHADO</x:v>
      </x:c>
      <x:c r="H317" t="str">
        <x:v>ERP-ORBITA</x:v>
      </x:c>
    </x:row>
    <x:row r="318">
      <x:c r="A318" s="25" t="n">
        <x:v>45870</x:v>
      </x:c>
      <x:c r="B318" t="str">
        <x:v>4.04.01</x:v>
      </x:c>
      <x:c r="C318" t="str">
        <x:v>Resultado financeiro líquido</x:v>
      </x:c>
      <x:c r="D318" t="str">
        <x:v>CONSOLIDADO</x:v>
      </x:c>
      <x:c r="E318" t="str">
        <x:v>BRL</x:v>
      </x:c>
      <x:c r="F318" s="26" t="n">
        <x:v>-0.726</x:v>
      </x:c>
      <x:c r="G318" t="str">
        <x:v>FECHADO</x:v>
      </x:c>
      <x:c r="H318" t="str">
        <x:v>ERP-ORBITA</x:v>
      </x:c>
    </x:row>
    <x:row r="319">
      <x:c r="A319" s="25" t="n">
        <x:v>45870</x:v>
      </x:c>
      <x:c r="B319" t="str">
        <x:v>3.05.01</x:v>
      </x:c>
      <x:c r="C319" t="str">
        <x:v>Lucro antes de IR/CS</x:v>
      </x:c>
      <x:c r="D319" t="str">
        <x:v>CONSOLIDADO</x:v>
      </x:c>
      <x:c r="E319" t="str">
        <x:v>BRL</x:v>
      </x:c>
      <x:c r="F319" s="26" t="n">
        <x:v>1.414</x:v>
      </x:c>
      <x:c r="G319" t="str">
        <x:v>FECHADO</x:v>
      </x:c>
      <x:c r="H319" t="str">
        <x:v>ERP-ORBITA</x:v>
      </x:c>
    </x:row>
    <x:row r="320">
      <x:c r="A320" s="25" t="n">
        <x:v>45870</x:v>
      </x:c>
      <x:c r="B320" t="str">
        <x:v>4.05.01</x:v>
      </x:c>
      <x:c r="C320" t="str">
        <x:v>IRPJ e CSLL</x:v>
      </x:c>
      <x:c r="D320" t="str">
        <x:v>CONSOLIDADO</x:v>
      </x:c>
      <x:c r="E320" t="str">
        <x:v>BRL</x:v>
      </x:c>
      <x:c r="F320" s="26" t="n">
        <x:v>-0.481</x:v>
      </x:c>
      <x:c r="G320" t="str">
        <x:v>FECHADO</x:v>
      </x:c>
      <x:c r="H320" t="str">
        <x:v>ERP-ORBITA</x:v>
      </x:c>
    </x:row>
    <x:row r="321">
      <x:c r="A321" s="25" t="n">
        <x:v>45870</x:v>
      </x:c>
      <x:c r="B321" t="str">
        <x:v>3.06.01</x:v>
      </x:c>
      <x:c r="C321" t="str">
        <x:v>Lucro líquido</x:v>
      </x:c>
      <x:c r="D321" t="str">
        <x:v>CONSOLIDADO</x:v>
      </x:c>
      <x:c r="E321" t="str">
        <x:v>BRL</x:v>
      </x:c>
      <x:c r="F321" s="26" t="n">
        <x:v>0.933</x:v>
      </x:c>
      <x:c r="G321" t="str">
        <x:v>FECHADO</x:v>
      </x:c>
      <x:c r="H321" t="str">
        <x:v>ERP-ORBITA</x:v>
      </x:c>
    </x:row>
    <x:row r="322">
      <x:c r="A322" s="25" t="n">
        <x:v>45901</x:v>
      </x:c>
      <x:c r="B322" t="str">
        <x:v>3.01.01</x:v>
      </x:c>
      <x:c r="C322" t="str">
        <x:v>Receita bruta de vendas</x:v>
      </x:c>
      <x:c r="D322" t="str">
        <x:v>CONSOLIDADO</x:v>
      </x:c>
      <x:c r="E322" t="str">
        <x:v>BRL</x:v>
      </x:c>
      <x:c r="F322" s="26" t="n">
        <x:v>16.275</x:v>
      </x:c>
      <x:c r="G322" t="str">
        <x:v>FECHADO</x:v>
      </x:c>
      <x:c r="H322" t="str">
        <x:v>ERP-ORBITA</x:v>
      </x:c>
    </x:row>
    <x:row r="323">
      <x:c r="A323" s="25" t="n">
        <x:v>45901</x:v>
      </x:c>
      <x:c r="B323" t="str">
        <x:v>3.01.02</x:v>
      </x:c>
      <x:c r="C323" t="str">
        <x:v>Deduções e impostos sobre vendas</x:v>
      </x:c>
      <x:c r="D323" t="str">
        <x:v>CONSOLIDADO</x:v>
      </x:c>
      <x:c r="E323" t="str">
        <x:v>BRL</x:v>
      </x:c>
      <x:c r="F323" s="26" t="n">
        <x:v>-0.651</x:v>
      </x:c>
      <x:c r="G323" t="str">
        <x:v>FECHADO</x:v>
      </x:c>
      <x:c r="H323" t="str">
        <x:v>ERP-ORBITA</x:v>
      </x:c>
    </x:row>
    <x:row r="324">
      <x:c r="A324" s="25" t="n">
        <x:v>45901</x:v>
      </x:c>
      <x:c r="B324" t="str">
        <x:v>3.01.03</x:v>
      </x:c>
      <x:c r="C324" t="str">
        <x:v>Receita líquida</x:v>
      </x:c>
      <x:c r="D324" t="str">
        <x:v>CONSOLIDADO</x:v>
      </x:c>
      <x:c r="E324" t="str">
        <x:v>BRL</x:v>
      </x:c>
      <x:c r="F324" s="26" t="n">
        <x:v>15.624</x:v>
      </x:c>
      <x:c r="G324" t="str">
        <x:v>FECHADO</x:v>
      </x:c>
      <x:c r="H324" t="str">
        <x:v>ERP-ORBITA</x:v>
      </x:c>
    </x:row>
    <x:row r="325">
      <x:c r="A325" s="25" t="n">
        <x:v>45901</x:v>
      </x:c>
      <x:c r="B325" t="str">
        <x:v>4.01.01</x:v>
      </x:c>
      <x:c r="C325" t="str">
        <x:v>Custo das mercadorias vendidas</x:v>
      </x:c>
      <x:c r="D325" t="str">
        <x:v>CONSOLIDADO</x:v>
      </x:c>
      <x:c r="E325" t="str">
        <x:v>BRL</x:v>
      </x:c>
      <x:c r="F325" s="26" t="n">
        <x:v>-10.562</x:v>
      </x:c>
      <x:c r="G325" t="str">
        <x:v>FECHADO</x:v>
      </x:c>
      <x:c r="H325" t="str">
        <x:v>ERP-ORBITA</x:v>
      </x:c>
    </x:row>
    <x:row r="326">
      <x:c r="A326" s="25" t="n">
        <x:v>45901</x:v>
      </x:c>
      <x:c r="B326" t="str">
        <x:v>3.02.01</x:v>
      </x:c>
      <x:c r="C326" t="str">
        <x:v>Lucro bruto</x:v>
      </x:c>
      <x:c r="D326" t="str">
        <x:v>CONSOLIDADO</x:v>
      </x:c>
      <x:c r="E326" t="str">
        <x:v>BRL</x:v>
      </x:c>
      <x:c r="F326" s="26" t="n">
        <x:v>5.062</x:v>
      </x:c>
      <x:c r="G326" t="str">
        <x:v>FECHADO</x:v>
      </x:c>
      <x:c r="H326" t="str">
        <x:v>ERP-ORBITA</x:v>
      </x:c>
    </x:row>
    <x:row r="327">
      <x:c r="A327" s="25" t="n">
        <x:v>45901</x:v>
      </x:c>
      <x:c r="B327" t="str">
        <x:v>4.02.01</x:v>
      </x:c>
      <x:c r="C327" t="str">
        <x:v>Pessoal</x:v>
      </x:c>
      <x:c r="D327" t="str">
        <x:v>CONSOLIDADO</x:v>
      </x:c>
      <x:c r="E327" t="str">
        <x:v>BRL</x:v>
      </x:c>
      <x:c r="F327" s="26" t="n">
        <x:v>-0.779</x:v>
      </x:c>
      <x:c r="G327" t="str">
        <x:v>FECHADO</x:v>
      </x:c>
      <x:c r="H327" t="str">
        <x:v>ERP-ORBITA</x:v>
      </x:c>
    </x:row>
    <x:row r="328">
      <x:c r="A328" s="25" t="n">
        <x:v>45901</x:v>
      </x:c>
      <x:c r="B328" t="str">
        <x:v>4.02.02</x:v>
      </x:c>
      <x:c r="C328" t="str">
        <x:v>Ocupação e utilidades</x:v>
      </x:c>
      <x:c r="D328" t="str">
        <x:v>CONSOLIDADO</x:v>
      </x:c>
      <x:c r="E328" t="str">
        <x:v>BRL</x:v>
      </x:c>
      <x:c r="F328" s="26" t="n">
        <x:v>-0.438</x:v>
      </x:c>
      <x:c r="G328" t="str">
        <x:v>FECHADO</x:v>
      </x:c>
      <x:c r="H328" t="str">
        <x:v>ERP-ORBITA</x:v>
      </x:c>
    </x:row>
    <x:row r="329">
      <x:c r="A329" s="25" t="n">
        <x:v>45901</x:v>
      </x:c>
      <x:c r="B329" t="str">
        <x:v>4.02.03</x:v>
      </x:c>
      <x:c r="C329" t="str">
        <x:v>Logística e tecnologia</x:v>
      </x:c>
      <x:c r="D329" t="str">
        <x:v>CONSOLIDADO</x:v>
      </x:c>
      <x:c r="E329" t="str">
        <x:v>BRL</x:v>
      </x:c>
      <x:c r="F329" s="26" t="n">
        <x:v>-0.438</x:v>
      </x:c>
      <x:c r="G329" t="str">
        <x:v>FECHADO</x:v>
      </x:c>
      <x:c r="H329" t="str">
        <x:v>ERP-ORBITA</x:v>
      </x:c>
    </x:row>
    <x:row r="330">
      <x:c r="A330" s="25" t="n">
        <x:v>45901</x:v>
      </x:c>
      <x:c r="B330" t="str">
        <x:v>4.02.04</x:v>
      </x:c>
      <x:c r="C330" t="str">
        <x:v>Despesas comerciais e administrativas</x:v>
      </x:c>
      <x:c r="D330" t="str">
        <x:v>CONSOLIDADO</x:v>
      </x:c>
      <x:c r="E330" t="str">
        <x:v>BRL</x:v>
      </x:c>
      <x:c r="F330" s="26" t="n">
        <x:v>-0.779</x:v>
      </x:c>
      <x:c r="G330" t="str">
        <x:v>FECHADO</x:v>
      </x:c>
      <x:c r="H330" t="str">
        <x:v>ERP-ORBITA</x:v>
      </x:c>
    </x:row>
    <x:row r="331">
      <x:c r="A331" s="25" t="n">
        <x:v>45901</x:v>
      </x:c>
      <x:c r="B331" t="str">
        <x:v>3.03.01</x:v>
      </x:c>
      <x:c r="C331" t="str">
        <x:v>EBITDA</x:v>
      </x:c>
      <x:c r="D331" t="str">
        <x:v>CONSOLIDADO</x:v>
      </x:c>
      <x:c r="E331" t="str">
        <x:v>BRL</x:v>
      </x:c>
      <x:c r="F331" s="26" t="n">
        <x:v>2.629</x:v>
      </x:c>
      <x:c r="G331" t="str">
        <x:v>FECHADO</x:v>
      </x:c>
      <x:c r="H331" t="str">
        <x:v>ERP-ORBITA</x:v>
      </x:c>
    </x:row>
    <x:row r="332">
      <x:c r="A332" s="25" t="n">
        <x:v>45901</x:v>
      </x:c>
      <x:c r="B332" t="str">
        <x:v>4.03.01</x:v>
      </x:c>
      <x:c r="C332" t="str">
        <x:v>Depreciação e amortização</x:v>
      </x:c>
      <x:c r="D332" t="str">
        <x:v>CONSOLIDADO</x:v>
      </x:c>
      <x:c r="E332" t="str">
        <x:v>BRL</x:v>
      </x:c>
      <x:c r="F332" s="26" t="n">
        <x:v>-0.437</x:v>
      </x:c>
      <x:c r="G332" t="str">
        <x:v>FECHADO</x:v>
      </x:c>
      <x:c r="H332" t="str">
        <x:v>ERP-ORBITA</x:v>
      </x:c>
    </x:row>
    <x:row r="333">
      <x:c r="A333" s="25" t="n">
        <x:v>45901</x:v>
      </x:c>
      <x:c r="B333" t="str">
        <x:v>3.04.01</x:v>
      </x:c>
      <x:c r="C333" t="str">
        <x:v>EBIT</x:v>
      </x:c>
      <x:c r="D333" t="str">
        <x:v>CONSOLIDADO</x:v>
      </x:c>
      <x:c r="E333" t="str">
        <x:v>BRL</x:v>
      </x:c>
      <x:c r="F333" s="26" t="n">
        <x:v>2.192</x:v>
      </x:c>
      <x:c r="G333" t="str">
        <x:v>FECHADO</x:v>
      </x:c>
      <x:c r="H333" t="str">
        <x:v>ERP-ORBITA</x:v>
      </x:c>
    </x:row>
    <x:row r="334">
      <x:c r="A334" s="25" t="n">
        <x:v>45901</x:v>
      </x:c>
      <x:c r="B334" t="str">
        <x:v>4.04.01</x:v>
      </x:c>
      <x:c r="C334" t="str">
        <x:v>Resultado financeiro líquido</x:v>
      </x:c>
      <x:c r="D334" t="str">
        <x:v>CONSOLIDADO</x:v>
      </x:c>
      <x:c r="E334" t="str">
        <x:v>BRL</x:v>
      </x:c>
      <x:c r="F334" s="26" t="n">
        <x:v>-0.734</x:v>
      </x:c>
      <x:c r="G334" t="str">
        <x:v>FECHADO</x:v>
      </x:c>
      <x:c r="H334" t="str">
        <x:v>ERP-ORBITA</x:v>
      </x:c>
    </x:row>
    <x:row r="335">
      <x:c r="A335" s="25" t="n">
        <x:v>45901</x:v>
      </x:c>
      <x:c r="B335" t="str">
        <x:v>3.05.01</x:v>
      </x:c>
      <x:c r="C335" t="str">
        <x:v>Lucro antes de IR/CS</x:v>
      </x:c>
      <x:c r="D335" t="str">
        <x:v>CONSOLIDADO</x:v>
      </x:c>
      <x:c r="E335" t="str">
        <x:v>BRL</x:v>
      </x:c>
      <x:c r="F335" s="26" t="n">
        <x:v>1.457</x:v>
      </x:c>
      <x:c r="G335" t="str">
        <x:v>FECHADO</x:v>
      </x:c>
      <x:c r="H335" t="str">
        <x:v>ERP-ORBITA</x:v>
      </x:c>
    </x:row>
    <x:row r="336">
      <x:c r="A336" s="25" t="n">
        <x:v>45901</x:v>
      </x:c>
      <x:c r="B336" t="str">
        <x:v>4.05.01</x:v>
      </x:c>
      <x:c r="C336" t="str">
        <x:v>IRPJ e CSLL</x:v>
      </x:c>
      <x:c r="D336" t="str">
        <x:v>CONSOLIDADO</x:v>
      </x:c>
      <x:c r="E336" t="str">
        <x:v>BRL</x:v>
      </x:c>
      <x:c r="F336" s="26" t="n">
        <x:v>-0.495</x:v>
      </x:c>
      <x:c r="G336" t="str">
        <x:v>FECHADO</x:v>
      </x:c>
      <x:c r="H336" t="str">
        <x:v>ERP-ORBITA</x:v>
      </x:c>
    </x:row>
    <x:row r="337">
      <x:c r="A337" s="25" t="n">
        <x:v>45901</x:v>
      </x:c>
      <x:c r="B337" t="str">
        <x:v>3.06.01</x:v>
      </x:c>
      <x:c r="C337" t="str">
        <x:v>Lucro líquido</x:v>
      </x:c>
      <x:c r="D337" t="str">
        <x:v>CONSOLIDADO</x:v>
      </x:c>
      <x:c r="E337" t="str">
        <x:v>BRL</x:v>
      </x:c>
      <x:c r="F337" s="26" t="n">
        <x:v>0.962</x:v>
      </x:c>
      <x:c r="G337" t="str">
        <x:v>FECHADO</x:v>
      </x:c>
      <x:c r="H337" t="str">
        <x:v>ERP-ORBITA</x:v>
      </x:c>
    </x:row>
    <x:row r="338">
      <x:c r="A338" s="25" t="n">
        <x:v>45931</x:v>
      </x:c>
      <x:c r="B338" t="str">
        <x:v>3.01.01</x:v>
      </x:c>
      <x:c r="C338" t="str">
        <x:v>Receita bruta de vendas</x:v>
      </x:c>
      <x:c r="D338" t="str">
        <x:v>CONSOLIDADO</x:v>
      </x:c>
      <x:c r="E338" t="str">
        <x:v>BRL</x:v>
      </x:c>
      <x:c r="F338" s="26" t="n">
        <x:v>16.663</x:v>
      </x:c>
      <x:c r="G338" t="str">
        <x:v>FECHADO</x:v>
      </x:c>
      <x:c r="H338" t="str">
        <x:v>ERP-ORBITA</x:v>
      </x:c>
    </x:row>
    <x:row r="339">
      <x:c r="A339" s="25" t="n">
        <x:v>45931</x:v>
      </x:c>
      <x:c r="B339" t="str">
        <x:v>3.01.02</x:v>
      </x:c>
      <x:c r="C339" t="str">
        <x:v>Deduções e impostos sobre vendas</x:v>
      </x:c>
      <x:c r="D339" t="str">
        <x:v>CONSOLIDADO</x:v>
      </x:c>
      <x:c r="E339" t="str">
        <x:v>BRL</x:v>
      </x:c>
      <x:c r="F339" s="26" t="n">
        <x:v>-0.667</x:v>
      </x:c>
      <x:c r="G339" t="str">
        <x:v>FECHADO</x:v>
      </x:c>
      <x:c r="H339" t="str">
        <x:v>ERP-ORBITA</x:v>
      </x:c>
    </x:row>
    <x:row r="340">
      <x:c r="A340" s="25" t="n">
        <x:v>45931</x:v>
      </x:c>
      <x:c r="B340" t="str">
        <x:v>3.01.03</x:v>
      </x:c>
      <x:c r="C340" t="str">
        <x:v>Receita líquida</x:v>
      </x:c>
      <x:c r="D340" t="str">
        <x:v>CONSOLIDADO</x:v>
      </x:c>
      <x:c r="E340" t="str">
        <x:v>BRL</x:v>
      </x:c>
      <x:c r="F340" s="26" t="n">
        <x:v>15.996</x:v>
      </x:c>
      <x:c r="G340" t="str">
        <x:v>FECHADO</x:v>
      </x:c>
      <x:c r="H340" t="str">
        <x:v>ERP-ORBITA</x:v>
      </x:c>
    </x:row>
    <x:row r="341">
      <x:c r="A341" s="25" t="n">
        <x:v>45931</x:v>
      </x:c>
      <x:c r="B341" t="str">
        <x:v>4.01.01</x:v>
      </x:c>
      <x:c r="C341" t="str">
        <x:v>Custo das mercadorias vendidas</x:v>
      </x:c>
      <x:c r="D341" t="str">
        <x:v>CONSOLIDADO</x:v>
      </x:c>
      <x:c r="E341" t="str">
        <x:v>BRL</x:v>
      </x:c>
      <x:c r="F341" s="26" t="n">
        <x:v>-10.813</x:v>
      </x:c>
      <x:c r="G341" t="str">
        <x:v>FECHADO</x:v>
      </x:c>
      <x:c r="H341" t="str">
        <x:v>ERP-ORBITA</x:v>
      </x:c>
    </x:row>
    <x:row r="342">
      <x:c r="A342" s="25" t="n">
        <x:v>45931</x:v>
      </x:c>
      <x:c r="B342" t="str">
        <x:v>3.02.01</x:v>
      </x:c>
      <x:c r="C342" t="str">
        <x:v>Lucro bruto</x:v>
      </x:c>
      <x:c r="D342" t="str">
        <x:v>CONSOLIDADO</x:v>
      </x:c>
      <x:c r="E342" t="str">
        <x:v>BRL</x:v>
      </x:c>
      <x:c r="F342" s="26" t="n">
        <x:v>5.183</x:v>
      </x:c>
      <x:c r="G342" t="str">
        <x:v>FECHADO</x:v>
      </x:c>
      <x:c r="H342" t="str">
        <x:v>ERP-ORBITA</x:v>
      </x:c>
    </x:row>
    <x:row r="343">
      <x:c r="A343" s="25" t="n">
        <x:v>45931</x:v>
      </x:c>
      <x:c r="B343" t="str">
        <x:v>4.02.01</x:v>
      </x:c>
      <x:c r="C343" t="str">
        <x:v>Pessoal</x:v>
      </x:c>
      <x:c r="D343" t="str">
        <x:v>CONSOLIDADO</x:v>
      </x:c>
      <x:c r="E343" t="str">
        <x:v>BRL</x:v>
      </x:c>
      <x:c r="F343" s="26" t="n">
        <x:v>-0.789</x:v>
      </x:c>
      <x:c r="G343" t="str">
        <x:v>FECHADO</x:v>
      </x:c>
      <x:c r="H343" t="str">
        <x:v>ERP-ORBITA</x:v>
      </x:c>
    </x:row>
    <x:row r="344">
      <x:c r="A344" s="25" t="n">
        <x:v>45931</x:v>
      </x:c>
      <x:c r="B344" t="str">
        <x:v>4.02.02</x:v>
      </x:c>
      <x:c r="C344" t="str">
        <x:v>Ocupação e utilidades</x:v>
      </x:c>
      <x:c r="D344" t="str">
        <x:v>CONSOLIDADO</x:v>
      </x:c>
      <x:c r="E344" t="str">
        <x:v>BRL</x:v>
      </x:c>
      <x:c r="F344" s="26" t="n">
        <x:v>-0.444</x:v>
      </x:c>
      <x:c r="G344" t="str">
        <x:v>FECHADO</x:v>
      </x:c>
      <x:c r="H344" t="str">
        <x:v>ERP-ORBITA</x:v>
      </x:c>
    </x:row>
    <x:row r="345">
      <x:c r="A345" s="25" t="n">
        <x:v>45931</x:v>
      </x:c>
      <x:c r="B345" t="str">
        <x:v>4.02.03</x:v>
      </x:c>
      <x:c r="C345" t="str">
        <x:v>Logística e tecnologia</x:v>
      </x:c>
      <x:c r="D345" t="str">
        <x:v>CONSOLIDADO</x:v>
      </x:c>
      <x:c r="E345" t="str">
        <x:v>BRL</x:v>
      </x:c>
      <x:c r="F345" s="26" t="n">
        <x:v>-0.444</x:v>
      </x:c>
      <x:c r="G345" t="str">
        <x:v>FECHADO</x:v>
      </x:c>
      <x:c r="H345" t="str">
        <x:v>ERP-ORBITA</x:v>
      </x:c>
    </x:row>
    <x:row r="346">
      <x:c r="A346" s="25" t="n">
        <x:v>45931</x:v>
      </x:c>
      <x:c r="B346" t="str">
        <x:v>4.02.04</x:v>
      </x:c>
      <x:c r="C346" t="str">
        <x:v>Despesas comerciais e administrativas</x:v>
      </x:c>
      <x:c r="D346" t="str">
        <x:v>CONSOLIDADO</x:v>
      </x:c>
      <x:c r="E346" t="str">
        <x:v>BRL</x:v>
      </x:c>
      <x:c r="F346" s="26" t="n">
        <x:v>-0.789</x:v>
      </x:c>
      <x:c r="G346" t="str">
        <x:v>FECHADO</x:v>
      </x:c>
      <x:c r="H346" t="str">
        <x:v>ERP-ORBITA</x:v>
      </x:c>
    </x:row>
    <x:row r="347">
      <x:c r="A347" s="25" t="n">
        <x:v>45931</x:v>
      </x:c>
      <x:c r="B347" t="str">
        <x:v>3.03.01</x:v>
      </x:c>
      <x:c r="C347" t="str">
        <x:v>EBITDA</x:v>
      </x:c>
      <x:c r="D347" t="str">
        <x:v>CONSOLIDADO</x:v>
      </x:c>
      <x:c r="E347" t="str">
        <x:v>BRL</x:v>
      </x:c>
      <x:c r="F347" s="26" t="n">
        <x:v>2.718</x:v>
      </x:c>
      <x:c r="G347" t="str">
        <x:v>FECHADO</x:v>
      </x:c>
      <x:c r="H347" t="str">
        <x:v>ERP-ORBITA</x:v>
      </x:c>
    </x:row>
    <x:row r="348">
      <x:c r="A348" s="25" t="n">
        <x:v>45931</x:v>
      </x:c>
      <x:c r="B348" t="str">
        <x:v>4.03.01</x:v>
      </x:c>
      <x:c r="C348" t="str">
        <x:v>Depreciação e amortização</x:v>
      </x:c>
      <x:c r="D348" t="str">
        <x:v>CONSOLIDADO</x:v>
      </x:c>
      <x:c r="E348" t="str">
        <x:v>BRL</x:v>
      </x:c>
      <x:c r="F348" s="26" t="n">
        <x:v>-0.448</x:v>
      </x:c>
      <x:c r="G348" t="str">
        <x:v>FECHADO</x:v>
      </x:c>
      <x:c r="H348" t="str">
        <x:v>ERP-ORBITA</x:v>
      </x:c>
    </x:row>
    <x:row r="349">
      <x:c r="A349" s="25" t="n">
        <x:v>45931</x:v>
      </x:c>
      <x:c r="B349" t="str">
        <x:v>3.04.01</x:v>
      </x:c>
      <x:c r="C349" t="str">
        <x:v>EBIT</x:v>
      </x:c>
      <x:c r="D349" t="str">
        <x:v>CONSOLIDADO</x:v>
      </x:c>
      <x:c r="E349" t="str">
        <x:v>BRL</x:v>
      </x:c>
      <x:c r="F349" s="26" t="n">
        <x:v>2.27</x:v>
      </x:c>
      <x:c r="G349" t="str">
        <x:v>FECHADO</x:v>
      </x:c>
      <x:c r="H349" t="str">
        <x:v>ERP-ORBITA</x:v>
      </x:c>
    </x:row>
    <x:row r="350">
      <x:c r="A350" s="25" t="n">
        <x:v>45931</x:v>
      </x:c>
      <x:c r="B350" t="str">
        <x:v>4.04.01</x:v>
      </x:c>
      <x:c r="C350" t="str">
        <x:v>Resultado financeiro líquido</x:v>
      </x:c>
      <x:c r="D350" t="str">
        <x:v>CONSOLIDADO</x:v>
      </x:c>
      <x:c r="E350" t="str">
        <x:v>BRL</x:v>
      </x:c>
      <x:c r="F350" s="26" t="n">
        <x:v>-0.752</x:v>
      </x:c>
      <x:c r="G350" t="str">
        <x:v>FECHADO</x:v>
      </x:c>
      <x:c r="H350" t="str">
        <x:v>ERP-ORBITA</x:v>
      </x:c>
    </x:row>
    <x:row r="351">
      <x:c r="A351" s="25" t="n">
        <x:v>45931</x:v>
      </x:c>
      <x:c r="B351" t="str">
        <x:v>3.05.01</x:v>
      </x:c>
      <x:c r="C351" t="str">
        <x:v>Lucro antes de IR/CS</x:v>
      </x:c>
      <x:c r="D351" t="str">
        <x:v>CONSOLIDADO</x:v>
      </x:c>
      <x:c r="E351" t="str">
        <x:v>BRL</x:v>
      </x:c>
      <x:c r="F351" s="26" t="n">
        <x:v>1.518</x:v>
      </x:c>
      <x:c r="G351" t="str">
        <x:v>FECHADO</x:v>
      </x:c>
      <x:c r="H351" t="str">
        <x:v>ERP-ORBITA</x:v>
      </x:c>
    </x:row>
    <x:row r="352">
      <x:c r="A352" s="25" t="n">
        <x:v>45931</x:v>
      </x:c>
      <x:c r="B352" t="str">
        <x:v>4.05.01</x:v>
      </x:c>
      <x:c r="C352" t="str">
        <x:v>IRPJ e CSLL</x:v>
      </x:c>
      <x:c r="D352" t="str">
        <x:v>CONSOLIDADO</x:v>
      </x:c>
      <x:c r="E352" t="str">
        <x:v>BRL</x:v>
      </x:c>
      <x:c r="F352" s="26" t="n">
        <x:v>-0.516</x:v>
      </x:c>
      <x:c r="G352" t="str">
        <x:v>FECHADO</x:v>
      </x:c>
      <x:c r="H352" t="str">
        <x:v>ERP-ORBITA</x:v>
      </x:c>
    </x:row>
    <x:row r="353">
      <x:c r="A353" s="25" t="n">
        <x:v>45931</x:v>
      </x:c>
      <x:c r="B353" t="str">
        <x:v>3.06.01</x:v>
      </x:c>
      <x:c r="C353" t="str">
        <x:v>Lucro líquido</x:v>
      </x:c>
      <x:c r="D353" t="str">
        <x:v>CONSOLIDADO</x:v>
      </x:c>
      <x:c r="E353" t="str">
        <x:v>BRL</x:v>
      </x:c>
      <x:c r="F353" s="26" t="n">
        <x:v>1.002</x:v>
      </x:c>
      <x:c r="G353" t="str">
        <x:v>FECHADO</x:v>
      </x:c>
      <x:c r="H353" t="str">
        <x:v>ERP-ORBITA</x:v>
      </x:c>
    </x:row>
    <x:row r="354">
      <x:c r="A354" s="25" t="n">
        <x:v>45962</x:v>
      </x:c>
      <x:c r="B354" t="str">
        <x:v>3.01.01</x:v>
      </x:c>
      <x:c r="C354" t="str">
        <x:v>Receita bruta de vendas</x:v>
      </x:c>
      <x:c r="D354" t="str">
        <x:v>CONSOLIDADO</x:v>
      </x:c>
      <x:c r="E354" t="str">
        <x:v>BRL</x:v>
      </x:c>
      <x:c r="F354" s="26" t="n">
        <x:v>17.244</x:v>
      </x:c>
      <x:c r="G354" t="str">
        <x:v>FECHADO</x:v>
      </x:c>
      <x:c r="H354" t="str">
        <x:v>ERP-ORBITA</x:v>
      </x:c>
    </x:row>
    <x:row r="355">
      <x:c r="A355" s="25" t="n">
        <x:v>45962</x:v>
      </x:c>
      <x:c r="B355" t="str">
        <x:v>3.01.02</x:v>
      </x:c>
      <x:c r="C355" t="str">
        <x:v>Deduções e impostos sobre vendas</x:v>
      </x:c>
      <x:c r="D355" t="str">
        <x:v>CONSOLIDADO</x:v>
      </x:c>
      <x:c r="E355" t="str">
        <x:v>BRL</x:v>
      </x:c>
      <x:c r="F355" s="26" t="n">
        <x:v>-0.69</x:v>
      </x:c>
      <x:c r="G355" t="str">
        <x:v>FECHADO</x:v>
      </x:c>
      <x:c r="H355" t="str">
        <x:v>ERP-ORBITA</x:v>
      </x:c>
    </x:row>
    <x:row r="356">
      <x:c r="A356" s="25" t="n">
        <x:v>45962</x:v>
      </x:c>
      <x:c r="B356" t="str">
        <x:v>3.01.03</x:v>
      </x:c>
      <x:c r="C356" t="str">
        <x:v>Receita líquida</x:v>
      </x:c>
      <x:c r="D356" t="str">
        <x:v>CONSOLIDADO</x:v>
      </x:c>
      <x:c r="E356" t="str">
        <x:v>BRL</x:v>
      </x:c>
      <x:c r="F356" s="26" t="n">
        <x:v>16.554</x:v>
      </x:c>
      <x:c r="G356" t="str">
        <x:v>FECHADO</x:v>
      </x:c>
      <x:c r="H356" t="str">
        <x:v>ERP-ORBITA</x:v>
      </x:c>
    </x:row>
    <x:row r="357">
      <x:c r="A357" s="25" t="n">
        <x:v>45962</x:v>
      </x:c>
      <x:c r="B357" t="str">
        <x:v>4.01.01</x:v>
      </x:c>
      <x:c r="C357" t="str">
        <x:v>Custo das mercadorias vendidas</x:v>
      </x:c>
      <x:c r="D357" t="str">
        <x:v>CONSOLIDADO</x:v>
      </x:c>
      <x:c r="E357" t="str">
        <x:v>BRL</x:v>
      </x:c>
      <x:c r="F357" s="26" t="n">
        <x:v>-11.191</x:v>
      </x:c>
      <x:c r="G357" t="str">
        <x:v>FECHADO</x:v>
      </x:c>
      <x:c r="H357" t="str">
        <x:v>ERP-ORBITA</x:v>
      </x:c>
    </x:row>
    <x:row r="358">
      <x:c r="A358" s="25" t="n">
        <x:v>45962</x:v>
      </x:c>
      <x:c r="B358" t="str">
        <x:v>3.02.01</x:v>
      </x:c>
      <x:c r="C358" t="str">
        <x:v>Lucro bruto</x:v>
      </x:c>
      <x:c r="D358" t="str">
        <x:v>CONSOLIDADO</x:v>
      </x:c>
      <x:c r="E358" t="str">
        <x:v>BRL</x:v>
      </x:c>
      <x:c r="F358" s="26" t="n">
        <x:v>5.363</x:v>
      </x:c>
      <x:c r="G358" t="str">
        <x:v>FECHADO</x:v>
      </x:c>
      <x:c r="H358" t="str">
        <x:v>ERP-ORBITA</x:v>
      </x:c>
    </x:row>
    <x:row r="359">
      <x:c r="A359" s="25" t="n">
        <x:v>45962</x:v>
      </x:c>
      <x:c r="B359" t="str">
        <x:v>4.02.01</x:v>
      </x:c>
      <x:c r="C359" t="str">
        <x:v>Pessoal</x:v>
      </x:c>
      <x:c r="D359" t="str">
        <x:v>CONSOLIDADO</x:v>
      </x:c>
      <x:c r="E359" t="str">
        <x:v>BRL</x:v>
      </x:c>
      <x:c r="F359" s="26" t="n">
        <x:v>-0.808</x:v>
      </x:c>
      <x:c r="G359" t="str">
        <x:v>FECHADO</x:v>
      </x:c>
      <x:c r="H359" t="str">
        <x:v>ERP-ORBITA</x:v>
      </x:c>
    </x:row>
    <x:row r="360">
      <x:c r="A360" s="25" t="n">
        <x:v>45962</x:v>
      </x:c>
      <x:c r="B360" t="str">
        <x:v>4.02.02</x:v>
      </x:c>
      <x:c r="C360" t="str">
        <x:v>Ocupação e utilidades</x:v>
      </x:c>
      <x:c r="D360" t="str">
        <x:v>CONSOLIDADO</x:v>
      </x:c>
      <x:c r="E360" t="str">
        <x:v>BRL</x:v>
      </x:c>
      <x:c r="F360" s="26" t="n">
        <x:v>-0.454</x:v>
      </x:c>
      <x:c r="G360" t="str">
        <x:v>FECHADO</x:v>
      </x:c>
      <x:c r="H360" t="str">
        <x:v>ERP-ORBITA</x:v>
      </x:c>
    </x:row>
    <x:row r="361">
      <x:c r="A361" s="25" t="n">
        <x:v>45962</x:v>
      </x:c>
      <x:c r="B361" t="str">
        <x:v>4.02.03</x:v>
      </x:c>
      <x:c r="C361" t="str">
        <x:v>Logística e tecnologia</x:v>
      </x:c>
      <x:c r="D361" t="str">
        <x:v>CONSOLIDADO</x:v>
      </x:c>
      <x:c r="E361" t="str">
        <x:v>BRL</x:v>
      </x:c>
      <x:c r="F361" s="26" t="n">
        <x:v>-0.454</x:v>
      </x:c>
      <x:c r="G361" t="str">
        <x:v>FECHADO</x:v>
      </x:c>
      <x:c r="H361" t="str">
        <x:v>ERP-ORBITA</x:v>
      </x:c>
    </x:row>
    <x:row r="362">
      <x:c r="A362" s="25" t="n">
        <x:v>45962</x:v>
      </x:c>
      <x:c r="B362" t="str">
        <x:v>4.02.04</x:v>
      </x:c>
      <x:c r="C362" t="str">
        <x:v>Despesas comerciais e administrativas</x:v>
      </x:c>
      <x:c r="D362" t="str">
        <x:v>CONSOLIDADO</x:v>
      </x:c>
      <x:c r="E362" t="str">
        <x:v>BRL</x:v>
      </x:c>
      <x:c r="F362" s="26" t="n">
        <x:v>-0.808</x:v>
      </x:c>
      <x:c r="G362" t="str">
        <x:v>FECHADO</x:v>
      </x:c>
      <x:c r="H362" t="str">
        <x:v>ERP-ORBITA</x:v>
      </x:c>
    </x:row>
    <x:row r="363">
      <x:c r="A363" s="25" t="n">
        <x:v>45962</x:v>
      </x:c>
      <x:c r="B363" t="str">
        <x:v>3.03.01</x:v>
      </x:c>
      <x:c r="C363" t="str">
        <x:v>EBITDA</x:v>
      </x:c>
      <x:c r="D363" t="str">
        <x:v>CONSOLIDADO</x:v>
      </x:c>
      <x:c r="E363" t="str">
        <x:v>BRL</x:v>
      </x:c>
      <x:c r="F363" s="26" t="n">
        <x:v>2.84</x:v>
      </x:c>
      <x:c r="G363" t="str">
        <x:v>FECHADO</x:v>
      </x:c>
      <x:c r="H363" t="str">
        <x:v>ERP-ORBITA</x:v>
      </x:c>
    </x:row>
    <x:row r="364">
      <x:c r="A364" s="25" t="n">
        <x:v>45962</x:v>
      </x:c>
      <x:c r="B364" t="str">
        <x:v>4.03.01</x:v>
      </x:c>
      <x:c r="C364" t="str">
        <x:v>Depreciação e amortização</x:v>
      </x:c>
      <x:c r="D364" t="str">
        <x:v>CONSOLIDADO</x:v>
      </x:c>
      <x:c r="E364" t="str">
        <x:v>BRL</x:v>
      </x:c>
      <x:c r="F364" s="26" t="n">
        <x:v>-0.464</x:v>
      </x:c>
      <x:c r="G364" t="str">
        <x:v>FECHADO</x:v>
      </x:c>
      <x:c r="H364" t="str">
        <x:v>ERP-ORBITA</x:v>
      </x:c>
    </x:row>
    <x:row r="365">
      <x:c r="A365" s="25" t="n">
        <x:v>45962</x:v>
      </x:c>
      <x:c r="B365" t="str">
        <x:v>3.04.01</x:v>
      </x:c>
      <x:c r="C365" t="str">
        <x:v>EBIT</x:v>
      </x:c>
      <x:c r="D365" t="str">
        <x:v>CONSOLIDADO</x:v>
      </x:c>
      <x:c r="E365" t="str">
        <x:v>BRL</x:v>
      </x:c>
      <x:c r="F365" s="26" t="n">
        <x:v>2.376</x:v>
      </x:c>
      <x:c r="G365" t="str">
        <x:v>FECHADO</x:v>
      </x:c>
      <x:c r="H365" t="str">
        <x:v>ERP-ORBITA</x:v>
      </x:c>
    </x:row>
    <x:row r="366">
      <x:c r="A366" s="25" t="n">
        <x:v>45962</x:v>
      </x:c>
      <x:c r="B366" t="str">
        <x:v>4.04.01</x:v>
      </x:c>
      <x:c r="C366" t="str">
        <x:v>Resultado financeiro líquido</x:v>
      </x:c>
      <x:c r="D366" t="str">
        <x:v>CONSOLIDADO</x:v>
      </x:c>
      <x:c r="E366" t="str">
        <x:v>BRL</x:v>
      </x:c>
      <x:c r="F366" s="26" t="n">
        <x:v>-0.778</x:v>
      </x:c>
      <x:c r="G366" t="str">
        <x:v>FECHADO</x:v>
      </x:c>
      <x:c r="H366" t="str">
        <x:v>ERP-ORBITA</x:v>
      </x:c>
    </x:row>
    <x:row r="367">
      <x:c r="A367" s="25" t="n">
        <x:v>45962</x:v>
      </x:c>
      <x:c r="B367" t="str">
        <x:v>3.05.01</x:v>
      </x:c>
      <x:c r="C367" t="str">
        <x:v>Lucro antes de IR/CS</x:v>
      </x:c>
      <x:c r="D367" t="str">
        <x:v>CONSOLIDADO</x:v>
      </x:c>
      <x:c r="E367" t="str">
        <x:v>BRL</x:v>
      </x:c>
      <x:c r="F367" s="26" t="n">
        <x:v>1.598</x:v>
      </x:c>
      <x:c r="G367" t="str">
        <x:v>FECHADO</x:v>
      </x:c>
      <x:c r="H367" t="str">
        <x:v>ERP-ORBITA</x:v>
      </x:c>
    </x:row>
    <x:row r="368">
      <x:c r="A368" s="25" t="n">
        <x:v>45962</x:v>
      </x:c>
      <x:c r="B368" t="str">
        <x:v>4.05.01</x:v>
      </x:c>
      <x:c r="C368" t="str">
        <x:v>IRPJ e CSLL</x:v>
      </x:c>
      <x:c r="D368" t="str">
        <x:v>CONSOLIDADO</x:v>
      </x:c>
      <x:c r="E368" t="str">
        <x:v>BRL</x:v>
      </x:c>
      <x:c r="F368" s="26" t="n">
        <x:v>-0.543</x:v>
      </x:c>
      <x:c r="G368" t="str">
        <x:v>FECHADO</x:v>
      </x:c>
      <x:c r="H368" t="str">
        <x:v>ERP-ORBITA</x:v>
      </x:c>
    </x:row>
    <x:row r="369">
      <x:c r="A369" s="25" t="n">
        <x:v>45962</x:v>
      </x:c>
      <x:c r="B369" t="str">
        <x:v>3.06.01</x:v>
      </x:c>
      <x:c r="C369" t="str">
        <x:v>Lucro líquido</x:v>
      </x:c>
      <x:c r="D369" t="str">
        <x:v>CONSOLIDADO</x:v>
      </x:c>
      <x:c r="E369" t="str">
        <x:v>BRL</x:v>
      </x:c>
      <x:c r="F369" s="26" t="n">
        <x:v>1.055</x:v>
      </x:c>
      <x:c r="G369" t="str">
        <x:v>FECHADO</x:v>
      </x:c>
      <x:c r="H369" t="str">
        <x:v>ERP-ORBITA</x:v>
      </x:c>
    </x:row>
    <x:row r="370">
      <x:c r="A370" s="25" t="n">
        <x:v>45992</x:v>
      </x:c>
      <x:c r="B370" t="str">
        <x:v>3.01.01</x:v>
      </x:c>
      <x:c r="C370" t="str">
        <x:v>Receita bruta de vendas</x:v>
      </x:c>
      <x:c r="D370" t="str">
        <x:v>CONSOLIDADO</x:v>
      </x:c>
      <x:c r="E370" t="str">
        <x:v>BRL</x:v>
      </x:c>
      <x:c r="F370" s="26" t="n">
        <x:v>20.152</x:v>
      </x:c>
      <x:c r="G370" t="str">
        <x:v>FECHADO</x:v>
      </x:c>
      <x:c r="H370" t="str">
        <x:v>ERP-ORBITA</x:v>
      </x:c>
    </x:row>
    <x:row r="371">
      <x:c r="A371" s="25" t="n">
        <x:v>45992</x:v>
      </x:c>
      <x:c r="B371" t="str">
        <x:v>3.01.02</x:v>
      </x:c>
      <x:c r="C371" t="str">
        <x:v>Deduções e impostos sobre vendas</x:v>
      </x:c>
      <x:c r="D371" t="str">
        <x:v>CONSOLIDADO</x:v>
      </x:c>
      <x:c r="E371" t="str">
        <x:v>BRL</x:v>
      </x:c>
      <x:c r="F371" s="26" t="n">
        <x:v>-0.806</x:v>
      </x:c>
      <x:c r="G371" t="str">
        <x:v>FECHADO</x:v>
      </x:c>
      <x:c r="H371" t="str">
        <x:v>ERP-ORBITA</x:v>
      </x:c>
    </x:row>
    <x:row r="372">
      <x:c r="A372" s="25" t="n">
        <x:v>45992</x:v>
      </x:c>
      <x:c r="B372" t="str">
        <x:v>3.01.03</x:v>
      </x:c>
      <x:c r="C372" t="str">
        <x:v>Receita líquida</x:v>
      </x:c>
      <x:c r="D372" t="str">
        <x:v>CONSOLIDADO</x:v>
      </x:c>
      <x:c r="E372" t="str">
        <x:v>BRL</x:v>
      </x:c>
      <x:c r="F372" s="26" t="n">
        <x:v>19.346</x:v>
      </x:c>
      <x:c r="G372" t="str">
        <x:v>FECHADO</x:v>
      </x:c>
      <x:c r="H372" t="str">
        <x:v>ERP-ORBITA</x:v>
      </x:c>
    </x:row>
    <x:row r="373">
      <x:c r="A373" s="25" t="n">
        <x:v>45992</x:v>
      </x:c>
      <x:c r="B373" t="str">
        <x:v>4.01.01</x:v>
      </x:c>
      <x:c r="C373" t="str">
        <x:v>Custo das mercadorias vendidas</x:v>
      </x:c>
      <x:c r="D373" t="str">
        <x:v>CONSOLIDADO</x:v>
      </x:c>
      <x:c r="E373" t="str">
        <x:v>BRL</x:v>
      </x:c>
      <x:c r="F373" s="26" t="n">
        <x:v>-13.078</x:v>
      </x:c>
      <x:c r="G373" t="str">
        <x:v>FECHADO</x:v>
      </x:c>
      <x:c r="H373" t="str">
        <x:v>ERP-ORBITA</x:v>
      </x:c>
    </x:row>
    <x:row r="374">
      <x:c r="A374" s="25" t="n">
        <x:v>45992</x:v>
      </x:c>
      <x:c r="B374" t="str">
        <x:v>3.02.01</x:v>
      </x:c>
      <x:c r="C374" t="str">
        <x:v>Lucro bruto</x:v>
      </x:c>
      <x:c r="D374" t="str">
        <x:v>CONSOLIDADO</x:v>
      </x:c>
      <x:c r="E374" t="str">
        <x:v>BRL</x:v>
      </x:c>
      <x:c r="F374" s="26" t="n">
        <x:v>6.268</x:v>
      </x:c>
      <x:c r="G374" t="str">
        <x:v>FECHADO</x:v>
      </x:c>
      <x:c r="H374" t="str">
        <x:v>ERP-ORBITA</x:v>
      </x:c>
    </x:row>
    <x:row r="375">
      <x:c r="A375" s="25" t="n">
        <x:v>45992</x:v>
      </x:c>
      <x:c r="B375" t="str">
        <x:v>4.02.01</x:v>
      </x:c>
      <x:c r="C375" t="str">
        <x:v>Pessoal</x:v>
      </x:c>
      <x:c r="D375" t="str">
        <x:v>CONSOLIDADO</x:v>
      </x:c>
      <x:c r="E375" t="str">
        <x:v>BRL</x:v>
      </x:c>
      <x:c r="F375" s="26" t="n">
        <x:v>-0.934</x:v>
      </x:c>
      <x:c r="G375" t="str">
        <x:v>FECHADO</x:v>
      </x:c>
      <x:c r="H375" t="str">
        <x:v>ERP-ORBITA</x:v>
      </x:c>
    </x:row>
    <x:row r="376">
      <x:c r="A376" s="25" t="n">
        <x:v>45992</x:v>
      </x:c>
      <x:c r="B376" t="str">
        <x:v>4.02.02</x:v>
      </x:c>
      <x:c r="C376" t="str">
        <x:v>Ocupação e utilidades</x:v>
      </x:c>
      <x:c r="D376" t="str">
        <x:v>CONSOLIDADO</x:v>
      </x:c>
      <x:c r="E376" t="str">
        <x:v>BRL</x:v>
      </x:c>
      <x:c r="F376" s="26" t="n">
        <x:v>-0.525</x:v>
      </x:c>
      <x:c r="G376" t="str">
        <x:v>FECHADO</x:v>
      </x:c>
      <x:c r="H376" t="str">
        <x:v>ERP-ORBITA</x:v>
      </x:c>
    </x:row>
    <x:row r="377">
      <x:c r="A377" s="25" t="n">
        <x:v>45992</x:v>
      </x:c>
      <x:c r="B377" t="str">
        <x:v>4.02.03</x:v>
      </x:c>
      <x:c r="C377" t="str">
        <x:v>Logística e tecnologia</x:v>
      </x:c>
      <x:c r="D377" t="str">
        <x:v>CONSOLIDADO</x:v>
      </x:c>
      <x:c r="E377" t="str">
        <x:v>BRL</x:v>
      </x:c>
      <x:c r="F377" s="26" t="n">
        <x:v>-0.525</x:v>
      </x:c>
      <x:c r="G377" t="str">
        <x:v>FECHADO</x:v>
      </x:c>
      <x:c r="H377" t="str">
        <x:v>ERP-ORBITA</x:v>
      </x:c>
    </x:row>
    <x:row r="378">
      <x:c r="A378" s="25" t="n">
        <x:v>45992</x:v>
      </x:c>
      <x:c r="B378" t="str">
        <x:v>4.02.04</x:v>
      </x:c>
      <x:c r="C378" t="str">
        <x:v>Despesas comerciais e administrativas</x:v>
      </x:c>
      <x:c r="D378" t="str">
        <x:v>CONSOLIDADO</x:v>
      </x:c>
      <x:c r="E378" t="str">
        <x:v>BRL</x:v>
      </x:c>
      <x:c r="F378" s="26" t="n">
        <x:v>-0.934</x:v>
      </x:c>
      <x:c r="G378" t="str">
        <x:v>FECHADO</x:v>
      </x:c>
      <x:c r="H378" t="str">
        <x:v>ERP-ORBITA</x:v>
      </x:c>
    </x:row>
    <x:row r="379">
      <x:c r="A379" s="25" t="n">
        <x:v>45992</x:v>
      </x:c>
      <x:c r="B379" t="str">
        <x:v>3.03.01</x:v>
      </x:c>
      <x:c r="C379" t="str">
        <x:v>EBITDA</x:v>
      </x:c>
      <x:c r="D379" t="str">
        <x:v>CONSOLIDADO</x:v>
      </x:c>
      <x:c r="E379" t="str">
        <x:v>BRL</x:v>
      </x:c>
      <x:c r="F379" s="26" t="n">
        <x:v>3.35</x:v>
      </x:c>
      <x:c r="G379" t="str">
        <x:v>FECHADO</x:v>
      </x:c>
      <x:c r="H379" t="str">
        <x:v>ERP-ORBITA</x:v>
      </x:c>
    </x:row>
    <x:row r="380">
      <x:c r="A380" s="25" t="n">
        <x:v>45992</x:v>
      </x:c>
      <x:c r="B380" t="str">
        <x:v>4.03.01</x:v>
      </x:c>
      <x:c r="C380" t="str">
        <x:v>Depreciação e amortização</x:v>
      </x:c>
      <x:c r="D380" t="str">
        <x:v>CONSOLIDADO</x:v>
      </x:c>
      <x:c r="E380" t="str">
        <x:v>BRL</x:v>
      </x:c>
      <x:c r="F380" s="26" t="n">
        <x:v>-0.542</x:v>
      </x:c>
      <x:c r="G380" t="str">
        <x:v>FECHADO</x:v>
      </x:c>
      <x:c r="H380" t="str">
        <x:v>ERP-ORBITA</x:v>
      </x:c>
    </x:row>
    <x:row r="381">
      <x:c r="A381" s="25" t="n">
        <x:v>45992</x:v>
      </x:c>
      <x:c r="B381" t="str">
        <x:v>3.04.01</x:v>
      </x:c>
      <x:c r="C381" t="str">
        <x:v>EBIT</x:v>
      </x:c>
      <x:c r="D381" t="str">
        <x:v>CONSOLIDADO</x:v>
      </x:c>
      <x:c r="E381" t="str">
        <x:v>BRL</x:v>
      </x:c>
      <x:c r="F381" s="26" t="n">
        <x:v>2.808</x:v>
      </x:c>
      <x:c r="G381" t="str">
        <x:v>FECHADO</x:v>
      </x:c>
      <x:c r="H381" t="str">
        <x:v>ERP-ORBITA</x:v>
      </x:c>
    </x:row>
    <x:row r="382">
      <x:c r="A382" s="25" t="n">
        <x:v>45992</x:v>
      </x:c>
      <x:c r="B382" t="str">
        <x:v>4.04.01</x:v>
      </x:c>
      <x:c r="C382" t="str">
        <x:v>Resultado financeiro líquido</x:v>
      </x:c>
      <x:c r="D382" t="str">
        <x:v>CONSOLIDADO</x:v>
      </x:c>
      <x:c r="E382" t="str">
        <x:v>BRL</x:v>
      </x:c>
      <x:c r="F382" s="26" t="n">
        <x:v>-0.909</x:v>
      </x:c>
      <x:c r="G382" t="str">
        <x:v>FECHADO</x:v>
      </x:c>
      <x:c r="H382" t="str">
        <x:v>ERP-ORBITA</x:v>
      </x:c>
    </x:row>
    <x:row r="383">
      <x:c r="A383" s="25" t="n">
        <x:v>45992</x:v>
      </x:c>
      <x:c r="B383" t="str">
        <x:v>3.05.01</x:v>
      </x:c>
      <x:c r="C383" t="str">
        <x:v>Lucro antes de IR/CS</x:v>
      </x:c>
      <x:c r="D383" t="str">
        <x:v>CONSOLIDADO</x:v>
      </x:c>
      <x:c r="E383" t="str">
        <x:v>BRL</x:v>
      </x:c>
      <x:c r="F383" s="26" t="n">
        <x:v>1.899</x:v>
      </x:c>
      <x:c r="G383" t="str">
        <x:v>FECHADO</x:v>
      </x:c>
      <x:c r="H383" t="str">
        <x:v>ERP-ORBITA</x:v>
      </x:c>
    </x:row>
    <x:row r="384">
      <x:c r="A384" s="25" t="n">
        <x:v>45992</x:v>
      </x:c>
      <x:c r="B384" t="str">
        <x:v>4.05.01</x:v>
      </x:c>
      <x:c r="C384" t="str">
        <x:v>IRPJ e CSLL</x:v>
      </x:c>
      <x:c r="D384" t="str">
        <x:v>CONSOLIDADO</x:v>
      </x:c>
      <x:c r="E384" t="str">
        <x:v>BRL</x:v>
      </x:c>
      <x:c r="F384" s="26" t="n">
        <x:v>-0.646</x:v>
      </x:c>
      <x:c r="G384" t="str">
        <x:v>FECHADO</x:v>
      </x:c>
      <x:c r="H384" t="str">
        <x:v>ERP-ORBITA</x:v>
      </x:c>
    </x:row>
    <x:row r="385">
      <x:c r="A385" s="25" t="n">
        <x:v>45992</x:v>
      </x:c>
      <x:c r="B385" t="str">
        <x:v>3.06.01</x:v>
      </x:c>
      <x:c r="C385" t="str">
        <x:v>Lucro líquido</x:v>
      </x:c>
      <x:c r="D385" t="str">
        <x:v>CONSOLIDADO</x:v>
      </x:c>
      <x:c r="E385" t="str">
        <x:v>BRL</x:v>
      </x:c>
      <x:c r="F385" s="26" t="n">
        <x:v>1.253</x:v>
      </x:c>
      <x:c r="G385" t="str">
        <x:v>FECHADO</x:v>
      </x:c>
      <x:c r="H385" t="str">
        <x:v>ERP-ORBITA</x:v>
      </x:c>
    </x:row>
    <x:row r="386">
      <x:c r="A386" s="25" t="n">
        <x:v>46023</x:v>
      </x:c>
      <x:c r="B386" t="str">
        <x:v>3.01.01</x:v>
      </x:c>
      <x:c r="C386" t="str">
        <x:v>Receita bruta de vendas</x:v>
      </x:c>
      <x:c r="D386" t="str">
        <x:v>CONSOLIDADO</x:v>
      </x:c>
      <x:c r="E386" t="str">
        <x:v>BRL</x:v>
      </x:c>
      <x:c r="F386" s="26" t="n">
        <x:v>17.5</x:v>
      </x:c>
      <x:c r="G386" t="str">
        <x:v>REAL</x:v>
      </x:c>
      <x:c r="H386" t="str">
        <x:v>ERP-ORBITA</x:v>
      </x:c>
    </x:row>
    <x:row r="387">
      <x:c r="A387" s="25" t="n">
        <x:v>46023</x:v>
      </x:c>
      <x:c r="B387" t="str">
        <x:v>3.01.02</x:v>
      </x:c>
      <x:c r="C387" t="str">
        <x:v>Deduções e impostos sobre vendas</x:v>
      </x:c>
      <x:c r="D387" t="str">
        <x:v>CONSOLIDADO</x:v>
      </x:c>
      <x:c r="E387" t="str">
        <x:v>BRL</x:v>
      </x:c>
      <x:c r="F387" s="26" t="n">
        <x:v>-0.7</x:v>
      </x:c>
      <x:c r="G387" t="str">
        <x:v>REAL</x:v>
      </x:c>
      <x:c r="H387" t="str">
        <x:v>ERP-ORBITA</x:v>
      </x:c>
    </x:row>
    <x:row r="388">
      <x:c r="A388" s="25" t="n">
        <x:v>46023</x:v>
      </x:c>
      <x:c r="B388" t="str">
        <x:v>3.01.03</x:v>
      </x:c>
      <x:c r="C388" t="str">
        <x:v>Receita líquida</x:v>
      </x:c>
      <x:c r="D388" t="str">
        <x:v>CONSOLIDADO</x:v>
      </x:c>
      <x:c r="E388" t="str">
        <x:v>BRL</x:v>
      </x:c>
      <x:c r="F388" s="26" t="n">
        <x:v>16.8</x:v>
      </x:c>
      <x:c r="G388" t="str">
        <x:v>REAL</x:v>
      </x:c>
      <x:c r="H388" t="str">
        <x:v>ERP-ORBITA</x:v>
      </x:c>
    </x:row>
    <x:row r="389">
      <x:c r="A389" s="25" t="n">
        <x:v>46023</x:v>
      </x:c>
      <x:c r="B389" t="str">
        <x:v>4.01.01</x:v>
      </x:c>
      <x:c r="C389" t="str">
        <x:v>Custo das mercadorias vendidas</x:v>
      </x:c>
      <x:c r="D389" t="str">
        <x:v>CONSOLIDADO</x:v>
      </x:c>
      <x:c r="E389" t="str">
        <x:v>BRL</x:v>
      </x:c>
      <x:c r="F389" s="26" t="n">
        <x:v>-11.29</x:v>
      </x:c>
      <x:c r="G389" t="str">
        <x:v>REAL</x:v>
      </x:c>
      <x:c r="H389" t="str">
        <x:v>ERP-ORBITA</x:v>
      </x:c>
    </x:row>
    <x:row r="390">
      <x:c r="A390" s="25" t="n">
        <x:v>46023</x:v>
      </x:c>
      <x:c r="B390" t="str">
        <x:v>3.02.01</x:v>
      </x:c>
      <x:c r="C390" t="str">
        <x:v>Lucro bruto</x:v>
      </x:c>
      <x:c r="D390" t="str">
        <x:v>CONSOLIDADO</x:v>
      </x:c>
      <x:c r="E390" t="str">
        <x:v>BRL</x:v>
      </x:c>
      <x:c r="F390" s="26" t="n">
        <x:v>5.51</x:v>
      </x:c>
      <x:c r="G390" t="str">
        <x:v>REAL</x:v>
      </x:c>
      <x:c r="H390" t="str">
        <x:v>ERP-ORBITA</x:v>
      </x:c>
    </x:row>
    <x:row r="391">
      <x:c r="A391" s="25" t="n">
        <x:v>46023</x:v>
      </x:c>
      <x:c r="B391" t="str">
        <x:v>4.02.01</x:v>
      </x:c>
      <x:c r="C391" t="str">
        <x:v>Pessoal</x:v>
      </x:c>
      <x:c r="D391" t="str">
        <x:v>CONSOLIDADO</x:v>
      </x:c>
      <x:c r="E391" t="str">
        <x:v>BRL</x:v>
      </x:c>
      <x:c r="F391" s="26" t="n">
        <x:v>-0.899</x:v>
      </x:c>
      <x:c r="G391" t="str">
        <x:v>REAL</x:v>
      </x:c>
      <x:c r="H391" t="str">
        <x:v>ERP-ORBITA</x:v>
      </x:c>
    </x:row>
    <x:row r="392">
      <x:c r="A392" s="25" t="n">
        <x:v>46023</x:v>
      </x:c>
      <x:c r="B392" t="str">
        <x:v>4.02.02</x:v>
      </x:c>
      <x:c r="C392" t="str">
        <x:v>Ocupação e utilidades</x:v>
      </x:c>
      <x:c r="D392" t="str">
        <x:v>CONSOLIDADO</x:v>
      </x:c>
      <x:c r="E392" t="str">
        <x:v>BRL</x:v>
      </x:c>
      <x:c r="F392" s="26" t="n">
        <x:v>-0.506</x:v>
      </x:c>
      <x:c r="G392" t="str">
        <x:v>REAL</x:v>
      </x:c>
      <x:c r="H392" t="str">
        <x:v>ERP-ORBITA</x:v>
      </x:c>
    </x:row>
    <x:row r="393">
      <x:c r="A393" s="25" t="n">
        <x:v>46023</x:v>
      </x:c>
      <x:c r="B393" t="str">
        <x:v>4.02.03</x:v>
      </x:c>
      <x:c r="C393" t="str">
        <x:v>Logística e tecnologia</x:v>
      </x:c>
      <x:c r="D393" t="str">
        <x:v>CONSOLIDADO</x:v>
      </x:c>
      <x:c r="E393" t="str">
        <x:v>BRL</x:v>
      </x:c>
      <x:c r="F393" s="26" t="n">
        <x:v>-0.506</x:v>
      </x:c>
      <x:c r="G393" t="str">
        <x:v>REAL</x:v>
      </x:c>
      <x:c r="H393" t="str">
        <x:v>ERP-ORBITA</x:v>
      </x:c>
    </x:row>
    <x:row r="394">
      <x:c r="A394" s="25" t="n">
        <x:v>46023</x:v>
      </x:c>
      <x:c r="B394" t="str">
        <x:v>4.02.04</x:v>
      </x:c>
      <x:c r="C394" t="str">
        <x:v>Despesas comerciais e administrativas</x:v>
      </x:c>
      <x:c r="D394" t="str">
        <x:v>CONSOLIDADO</x:v>
      </x:c>
      <x:c r="E394" t="str">
        <x:v>BRL</x:v>
      </x:c>
      <x:c r="F394" s="26" t="n">
        <x:v>-0.899</x:v>
      </x:c>
      <x:c r="G394" t="str">
        <x:v>REAL</x:v>
      </x:c>
      <x:c r="H394" t="str">
        <x:v>ERP-ORBITA</x:v>
      </x:c>
    </x:row>
    <x:row r="395">
      <x:c r="A395" s="25" t="n">
        <x:v>46023</x:v>
      </x:c>
      <x:c r="B395" t="str">
        <x:v>3.03.01</x:v>
      </x:c>
      <x:c r="C395" t="str">
        <x:v>EBITDA</x:v>
      </x:c>
      <x:c r="D395" t="str">
        <x:v>CONSOLIDADO</x:v>
      </x:c>
      <x:c r="E395" t="str">
        <x:v>BRL</x:v>
      </x:c>
      <x:c r="F395" s="26" t="n">
        <x:v>2.7</x:v>
      </x:c>
      <x:c r="G395" t="str">
        <x:v>REAL</x:v>
      </x:c>
      <x:c r="H395" t="str">
        <x:v>ERP-ORBITA</x:v>
      </x:c>
    </x:row>
    <x:row r="396">
      <x:c r="A396" s="25" t="n">
        <x:v>46023</x:v>
      </x:c>
      <x:c r="B396" t="str">
        <x:v>4.03.01</x:v>
      </x:c>
      <x:c r="C396" t="str">
        <x:v>Depreciação e amortização</x:v>
      </x:c>
      <x:c r="D396" t="str">
        <x:v>CONSOLIDADO</x:v>
      </x:c>
      <x:c r="E396" t="str">
        <x:v>BRL</x:v>
      </x:c>
      <x:c r="F396" s="26" t="n">
        <x:v>-0.47</x:v>
      </x:c>
      <x:c r="G396" t="str">
        <x:v>REAL</x:v>
      </x:c>
      <x:c r="H396" t="str">
        <x:v>ERP-ORBITA</x:v>
      </x:c>
    </x:row>
    <x:row r="397">
      <x:c r="A397" s="25" t="n">
        <x:v>46023</x:v>
      </x:c>
      <x:c r="B397" t="str">
        <x:v>3.04.01</x:v>
      </x:c>
      <x:c r="C397" t="str">
        <x:v>EBIT</x:v>
      </x:c>
      <x:c r="D397" t="str">
        <x:v>CONSOLIDADO</x:v>
      </x:c>
      <x:c r="E397" t="str">
        <x:v>BRL</x:v>
      </x:c>
      <x:c r="F397" s="26" t="n">
        <x:v>2.23</x:v>
      </x:c>
      <x:c r="G397" t="str">
        <x:v>REAL</x:v>
      </x:c>
      <x:c r="H397" t="str">
        <x:v>ERP-ORBITA</x:v>
      </x:c>
    </x:row>
    <x:row r="398">
      <x:c r="A398" s="25" t="n">
        <x:v>46023</x:v>
      </x:c>
      <x:c r="B398" t="str">
        <x:v>4.04.01</x:v>
      </x:c>
      <x:c r="C398" t="str">
        <x:v>Resultado financeiro líquido</x:v>
      </x:c>
      <x:c r="D398" t="str">
        <x:v>CONSOLIDADO</x:v>
      </x:c>
      <x:c r="E398" t="str">
        <x:v>BRL</x:v>
      </x:c>
      <x:c r="F398" s="26" t="n">
        <x:v>-0.84</x:v>
      </x:c>
      <x:c r="G398" t="str">
        <x:v>REAL</x:v>
      </x:c>
      <x:c r="H398" t="str">
        <x:v>ERP-ORBITA</x:v>
      </x:c>
    </x:row>
    <x:row r="399">
      <x:c r="A399" s="25" t="n">
        <x:v>46023</x:v>
      </x:c>
      <x:c r="B399" t="str">
        <x:v>3.05.01</x:v>
      </x:c>
      <x:c r="C399" t="str">
        <x:v>Lucro antes de IR/CS</x:v>
      </x:c>
      <x:c r="D399" t="str">
        <x:v>CONSOLIDADO</x:v>
      </x:c>
      <x:c r="E399" t="str">
        <x:v>BRL</x:v>
      </x:c>
      <x:c r="F399" s="26" t="n">
        <x:v>1.39</x:v>
      </x:c>
      <x:c r="G399" t="str">
        <x:v>REAL</x:v>
      </x:c>
      <x:c r="H399" t="str">
        <x:v>ERP-ORBITA</x:v>
      </x:c>
    </x:row>
    <x:row r="400">
      <x:c r="A400" s="25" t="n">
        <x:v>46023</x:v>
      </x:c>
      <x:c r="B400" t="str">
        <x:v>4.05.01</x:v>
      </x:c>
      <x:c r="C400" t="str">
        <x:v>IRPJ e CSLL</x:v>
      </x:c>
      <x:c r="D400" t="str">
        <x:v>CONSOLIDADO</x:v>
      </x:c>
      <x:c r="E400" t="str">
        <x:v>BRL</x:v>
      </x:c>
      <x:c r="F400" s="26" t="n">
        <x:v>-0.472</x:v>
      </x:c>
      <x:c r="G400" t="str">
        <x:v>REAL</x:v>
      </x:c>
      <x:c r="H400" t="str">
        <x:v>ERP-ORBITA</x:v>
      </x:c>
    </x:row>
    <x:row r="401">
      <x:c r="A401" s="25" t="n">
        <x:v>46023</x:v>
      </x:c>
      <x:c r="B401" t="str">
        <x:v>3.06.01</x:v>
      </x:c>
      <x:c r="C401" t="str">
        <x:v>Lucro líquido</x:v>
      </x:c>
      <x:c r="D401" t="str">
        <x:v>CONSOLIDADO</x:v>
      </x:c>
      <x:c r="E401" t="str">
        <x:v>BRL</x:v>
      </x:c>
      <x:c r="F401" s="26" t="n">
        <x:v>0.917</x:v>
      </x:c>
      <x:c r="G401" t="str">
        <x:v>REAL</x:v>
      </x:c>
      <x:c r="H401" t="str">
        <x:v>ERP-ORBITA</x:v>
      </x:c>
    </x:row>
    <x:row r="402">
      <x:c r="A402" s="25" t="n">
        <x:v>46054</x:v>
      </x:c>
      <x:c r="B402" t="str">
        <x:v>3.01.01</x:v>
      </x:c>
      <x:c r="C402" t="str">
        <x:v>Receita bruta de vendas</x:v>
      </x:c>
      <x:c r="D402" t="str">
        <x:v>CONSOLIDADO</x:v>
      </x:c>
      <x:c r="E402" t="str">
        <x:v>BRL</x:v>
      </x:c>
      <x:c r="F402" s="26" t="n">
        <x:v>17.083</x:v>
      </x:c>
      <x:c r="G402" t="str">
        <x:v>REAL</x:v>
      </x:c>
      <x:c r="H402" t="str">
        <x:v>ERP-ORBITA</x:v>
      </x:c>
    </x:row>
    <x:row r="403">
      <x:c r="A403" s="25" t="n">
        <x:v>46054</x:v>
      </x:c>
      <x:c r="B403" t="str">
        <x:v>3.01.02</x:v>
      </x:c>
      <x:c r="C403" t="str">
        <x:v>Deduções e impostos sobre vendas</x:v>
      </x:c>
      <x:c r="D403" t="str">
        <x:v>CONSOLIDADO</x:v>
      </x:c>
      <x:c r="E403" t="str">
        <x:v>BRL</x:v>
      </x:c>
      <x:c r="F403" s="26" t="n">
        <x:v>-0.683</x:v>
      </x:c>
      <x:c r="G403" t="str">
        <x:v>REAL</x:v>
      </x:c>
      <x:c r="H403" t="str">
        <x:v>ERP-ORBITA</x:v>
      </x:c>
    </x:row>
    <x:row r="404">
      <x:c r="A404" s="25" t="n">
        <x:v>46054</x:v>
      </x:c>
      <x:c r="B404" t="str">
        <x:v>3.01.03</x:v>
      </x:c>
      <x:c r="C404" t="str">
        <x:v>Receita líquida</x:v>
      </x:c>
      <x:c r="D404" t="str">
        <x:v>CONSOLIDADO</x:v>
      </x:c>
      <x:c r="E404" t="str">
        <x:v>BRL</x:v>
      </x:c>
      <x:c r="F404" s="26" t="n">
        <x:v>16.4</x:v>
      </x:c>
      <x:c r="G404" t="str">
        <x:v>REAL</x:v>
      </x:c>
      <x:c r="H404" t="str">
        <x:v>ERP-ORBITA</x:v>
      </x:c>
    </x:row>
    <x:row r="405">
      <x:c r="A405" s="25" t="n">
        <x:v>46054</x:v>
      </x:c>
      <x:c r="B405" t="str">
        <x:v>4.01.01</x:v>
      </x:c>
      <x:c r="C405" t="str">
        <x:v>Custo das mercadorias vendidas</x:v>
      </x:c>
      <x:c r="D405" t="str">
        <x:v>CONSOLIDADO</x:v>
      </x:c>
      <x:c r="E405" t="str">
        <x:v>BRL</x:v>
      </x:c>
      <x:c r="F405" s="26" t="n">
        <x:v>-11.021</x:v>
      </x:c>
      <x:c r="G405" t="str">
        <x:v>REAL</x:v>
      </x:c>
      <x:c r="H405" t="str">
        <x:v>ERP-ORBITA</x:v>
      </x:c>
    </x:row>
    <x:row r="406">
      <x:c r="A406" s="25" t="n">
        <x:v>46054</x:v>
      </x:c>
      <x:c r="B406" t="str">
        <x:v>3.02.01</x:v>
      </x:c>
      <x:c r="C406" t="str">
        <x:v>Lucro bruto</x:v>
      </x:c>
      <x:c r="D406" t="str">
        <x:v>CONSOLIDADO</x:v>
      </x:c>
      <x:c r="E406" t="str">
        <x:v>BRL</x:v>
      </x:c>
      <x:c r="F406" s="26" t="n">
        <x:v>5.379</x:v>
      </x:c>
      <x:c r="G406" t="str">
        <x:v>REAL</x:v>
      </x:c>
      <x:c r="H406" t="str">
        <x:v>ERP-ORBITA</x:v>
      </x:c>
    </x:row>
    <x:row r="407">
      <x:c r="A407" s="25" t="n">
        <x:v>46054</x:v>
      </x:c>
      <x:c r="B407" t="str">
        <x:v>4.02.01</x:v>
      </x:c>
      <x:c r="C407" t="str">
        <x:v>Pessoal</x:v>
      </x:c>
      <x:c r="D407" t="str">
        <x:v>CONSOLIDADO</x:v>
      </x:c>
      <x:c r="E407" t="str">
        <x:v>BRL</x:v>
      </x:c>
      <x:c r="F407" s="26" t="n">
        <x:v>-0.889</x:v>
      </x:c>
      <x:c r="G407" t="str">
        <x:v>REAL</x:v>
      </x:c>
      <x:c r="H407" t="str">
        <x:v>ERP-ORBITA</x:v>
      </x:c>
    </x:row>
    <x:row r="408">
      <x:c r="A408" s="25" t="n">
        <x:v>46054</x:v>
      </x:c>
      <x:c r="B408" t="str">
        <x:v>4.02.02</x:v>
      </x:c>
      <x:c r="C408" t="str">
        <x:v>Ocupação e utilidades</x:v>
      </x:c>
      <x:c r="D408" t="str">
        <x:v>CONSOLIDADO</x:v>
      </x:c>
      <x:c r="E408" t="str">
        <x:v>BRL</x:v>
      </x:c>
      <x:c r="F408" s="26" t="n">
        <x:v>-0.5</x:v>
      </x:c>
      <x:c r="G408" t="str">
        <x:v>REAL</x:v>
      </x:c>
      <x:c r="H408" t="str">
        <x:v>ERP-ORBITA</x:v>
      </x:c>
    </x:row>
    <x:row r="409">
      <x:c r="A409" s="25" t="n">
        <x:v>46054</x:v>
      </x:c>
      <x:c r="B409" t="str">
        <x:v>4.02.03</x:v>
      </x:c>
      <x:c r="C409" t="str">
        <x:v>Logística e tecnologia</x:v>
      </x:c>
      <x:c r="D409" t="str">
        <x:v>CONSOLIDADO</x:v>
      </x:c>
      <x:c r="E409" t="str">
        <x:v>BRL</x:v>
      </x:c>
      <x:c r="F409" s="26" t="n">
        <x:v>-0.5</x:v>
      </x:c>
      <x:c r="G409" t="str">
        <x:v>REAL</x:v>
      </x:c>
      <x:c r="H409" t="str">
        <x:v>ERP-ORBITA</x:v>
      </x:c>
    </x:row>
    <x:row r="410">
      <x:c r="A410" s="25" t="n">
        <x:v>46054</x:v>
      </x:c>
      <x:c r="B410" t="str">
        <x:v>4.02.04</x:v>
      </x:c>
      <x:c r="C410" t="str">
        <x:v>Despesas comerciais e administrativas</x:v>
      </x:c>
      <x:c r="D410" t="str">
        <x:v>CONSOLIDADO</x:v>
      </x:c>
      <x:c r="E410" t="str">
        <x:v>BRL</x:v>
      </x:c>
      <x:c r="F410" s="26" t="n">
        <x:v>-0.889</x:v>
      </x:c>
      <x:c r="G410" t="str">
        <x:v>REAL</x:v>
      </x:c>
      <x:c r="H410" t="str">
        <x:v>ERP-ORBITA</x:v>
      </x:c>
    </x:row>
    <x:row r="411">
      <x:c r="A411" s="25" t="n">
        <x:v>46054</x:v>
      </x:c>
      <x:c r="B411" t="str">
        <x:v>3.03.01</x:v>
      </x:c>
      <x:c r="C411" t="str">
        <x:v>EBITDA</x:v>
      </x:c>
      <x:c r="D411" t="str">
        <x:v>CONSOLIDADO</x:v>
      </x:c>
      <x:c r="E411" t="str">
        <x:v>BRL</x:v>
      </x:c>
      <x:c r="F411" s="26" t="n">
        <x:v>2.6</x:v>
      </x:c>
      <x:c r="G411" t="str">
        <x:v>REAL</x:v>
      </x:c>
      <x:c r="H411" t="str">
        <x:v>ERP-ORBITA</x:v>
      </x:c>
    </x:row>
    <x:row r="412">
      <x:c r="A412" s="25" t="n">
        <x:v>46054</x:v>
      </x:c>
      <x:c r="B412" t="str">
        <x:v>4.03.01</x:v>
      </x:c>
      <x:c r="C412" t="str">
        <x:v>Depreciação e amortização</x:v>
      </x:c>
      <x:c r="D412" t="str">
        <x:v>CONSOLIDADO</x:v>
      </x:c>
      <x:c r="E412" t="str">
        <x:v>BRL</x:v>
      </x:c>
      <x:c r="F412" s="26" t="n">
        <x:v>-0.459</x:v>
      </x:c>
      <x:c r="G412" t="str">
        <x:v>REAL</x:v>
      </x:c>
      <x:c r="H412" t="str">
        <x:v>ERP-ORBITA</x:v>
      </x:c>
    </x:row>
    <x:row r="413">
      <x:c r="A413" s="25" t="n">
        <x:v>46054</x:v>
      </x:c>
      <x:c r="B413" t="str">
        <x:v>3.04.01</x:v>
      </x:c>
      <x:c r="C413" t="str">
        <x:v>EBIT</x:v>
      </x:c>
      <x:c r="D413" t="str">
        <x:v>CONSOLIDADO</x:v>
      </x:c>
      <x:c r="E413" t="str">
        <x:v>BRL</x:v>
      </x:c>
      <x:c r="F413" s="26" t="n">
        <x:v>2.141</x:v>
      </x:c>
      <x:c r="G413" t="str">
        <x:v>REAL</x:v>
      </x:c>
      <x:c r="H413" t="str">
        <x:v>ERP-ORBITA</x:v>
      </x:c>
    </x:row>
    <x:row r="414">
      <x:c r="A414" s="25" t="n">
        <x:v>46054</x:v>
      </x:c>
      <x:c r="B414" t="str">
        <x:v>4.04.01</x:v>
      </x:c>
      <x:c r="C414" t="str">
        <x:v>Resultado financeiro líquido</x:v>
      </x:c>
      <x:c r="D414" t="str">
        <x:v>CONSOLIDADO</x:v>
      </x:c>
      <x:c r="E414" t="str">
        <x:v>BRL</x:v>
      </x:c>
      <x:c r="F414" s="26" t="n">
        <x:v>-0.82</x:v>
      </x:c>
      <x:c r="G414" t="str">
        <x:v>REAL</x:v>
      </x:c>
      <x:c r="H414" t="str">
        <x:v>ERP-ORBITA</x:v>
      </x:c>
    </x:row>
    <x:row r="415">
      <x:c r="A415" s="25" t="n">
        <x:v>46054</x:v>
      </x:c>
      <x:c r="B415" t="str">
        <x:v>3.05.01</x:v>
      </x:c>
      <x:c r="C415" t="str">
        <x:v>Lucro antes de IR/CS</x:v>
      </x:c>
      <x:c r="D415" t="str">
        <x:v>CONSOLIDADO</x:v>
      </x:c>
      <x:c r="E415" t="str">
        <x:v>BRL</x:v>
      </x:c>
      <x:c r="F415" s="26" t="n">
        <x:v>1.321</x:v>
      </x:c>
      <x:c r="G415" t="str">
        <x:v>REAL</x:v>
      </x:c>
      <x:c r="H415" t="str">
        <x:v>ERP-ORBITA</x:v>
      </x:c>
    </x:row>
    <x:row r="416">
      <x:c r="A416" s="25" t="n">
        <x:v>46054</x:v>
      </x:c>
      <x:c r="B416" t="str">
        <x:v>4.05.01</x:v>
      </x:c>
      <x:c r="C416" t="str">
        <x:v>IRPJ e CSLL</x:v>
      </x:c>
      <x:c r="D416" t="str">
        <x:v>CONSOLIDADO</x:v>
      </x:c>
      <x:c r="E416" t="str">
        <x:v>BRL</x:v>
      </x:c>
      <x:c r="F416" s="26" t="n">
        <x:v>-0.449</x:v>
      </x:c>
      <x:c r="G416" t="str">
        <x:v>REAL</x:v>
      </x:c>
      <x:c r="H416" t="str">
        <x:v>ERP-ORBITA</x:v>
      </x:c>
    </x:row>
    <x:row r="417">
      <x:c r="A417" s="25" t="n">
        <x:v>46054</x:v>
      </x:c>
      <x:c r="B417" t="str">
        <x:v>3.06.01</x:v>
      </x:c>
      <x:c r="C417" t="str">
        <x:v>Lucro líquido</x:v>
      </x:c>
      <x:c r="D417" t="str">
        <x:v>CONSOLIDADO</x:v>
      </x:c>
      <x:c r="E417" t="str">
        <x:v>BRL</x:v>
      </x:c>
      <x:c r="F417" s="26" t="n">
        <x:v>0.872</x:v>
      </x:c>
      <x:c r="G417" t="str">
        <x:v>REAL</x:v>
      </x:c>
      <x:c r="H417" t="str">
        <x:v>ERP-ORBITA</x:v>
      </x:c>
    </x:row>
    <x:row r="418">
      <x:c r="A418" s="25" t="n">
        <x:v>46082</x:v>
      </x:c>
      <x:c r="B418" t="str">
        <x:v>3.01.01</x:v>
      </x:c>
      <x:c r="C418" t="str">
        <x:v>Receita bruta de vendas</x:v>
      </x:c>
      <x:c r="D418" t="str">
        <x:v>CONSOLIDADO</x:v>
      </x:c>
      <x:c r="E418" t="str">
        <x:v>BRL</x:v>
      </x:c>
      <x:c r="F418" s="26" t="n">
        <x:v>17.813</x:v>
      </x:c>
      <x:c r="G418" t="str">
        <x:v>REAL</x:v>
      </x:c>
      <x:c r="H418" t="str">
        <x:v>ERP-ORBITA</x:v>
      </x:c>
    </x:row>
    <x:row r="419">
      <x:c r="A419" s="25" t="n">
        <x:v>46082</x:v>
      </x:c>
      <x:c r="B419" t="str">
        <x:v>3.01.02</x:v>
      </x:c>
      <x:c r="C419" t="str">
        <x:v>Deduções e impostos sobre vendas</x:v>
      </x:c>
      <x:c r="D419" t="str">
        <x:v>CONSOLIDADO</x:v>
      </x:c>
      <x:c r="E419" t="str">
        <x:v>BRL</x:v>
      </x:c>
      <x:c r="F419" s="26" t="n">
        <x:v>-0.713</x:v>
      </x:c>
      <x:c r="G419" t="str">
        <x:v>REAL</x:v>
      </x:c>
      <x:c r="H419" t="str">
        <x:v>ERP-ORBITA</x:v>
      </x:c>
    </x:row>
    <x:row r="420">
      <x:c r="A420" s="25" t="n">
        <x:v>46082</x:v>
      </x:c>
      <x:c r="B420" t="str">
        <x:v>3.01.03</x:v>
      </x:c>
      <x:c r="C420" t="str">
        <x:v>Receita líquida</x:v>
      </x:c>
      <x:c r="D420" t="str">
        <x:v>CONSOLIDADO</x:v>
      </x:c>
      <x:c r="E420" t="str">
        <x:v>BRL</x:v>
      </x:c>
      <x:c r="F420" s="26" t="n">
        <x:v>17.1</x:v>
      </x:c>
      <x:c r="G420" t="str">
        <x:v>REAL</x:v>
      </x:c>
      <x:c r="H420" t="str">
        <x:v>ERP-ORBITA</x:v>
      </x:c>
    </x:row>
    <x:row r="421">
      <x:c r="A421" s="25" t="n">
        <x:v>46082</x:v>
      </x:c>
      <x:c r="B421" t="str">
        <x:v>4.01.01</x:v>
      </x:c>
      <x:c r="C421" t="str">
        <x:v>Custo das mercadorias vendidas</x:v>
      </x:c>
      <x:c r="D421" t="str">
        <x:v>CONSOLIDADO</x:v>
      </x:c>
      <x:c r="E421" t="str">
        <x:v>BRL</x:v>
      </x:c>
      <x:c r="F421" s="26" t="n">
        <x:v>-11.491</x:v>
      </x:c>
      <x:c r="G421" t="str">
        <x:v>REAL</x:v>
      </x:c>
      <x:c r="H421" t="str">
        <x:v>ERP-ORBITA</x:v>
      </x:c>
    </x:row>
    <x:row r="422">
      <x:c r="A422" s="25" t="n">
        <x:v>46082</x:v>
      </x:c>
      <x:c r="B422" t="str">
        <x:v>3.02.01</x:v>
      </x:c>
      <x:c r="C422" t="str">
        <x:v>Lucro bruto</x:v>
      </x:c>
      <x:c r="D422" t="str">
        <x:v>CONSOLIDADO</x:v>
      </x:c>
      <x:c r="E422" t="str">
        <x:v>BRL</x:v>
      </x:c>
      <x:c r="F422" s="26" t="n">
        <x:v>5.609</x:v>
      </x:c>
      <x:c r="G422" t="str">
        <x:v>REAL</x:v>
      </x:c>
      <x:c r="H422" t="str">
        <x:v>ERP-ORBITA</x:v>
      </x:c>
    </x:row>
    <x:row r="423">
      <x:c r="A423" s="25" t="n">
        <x:v>46082</x:v>
      </x:c>
      <x:c r="B423" t="str">
        <x:v>4.02.01</x:v>
      </x:c>
      <x:c r="C423" t="str">
        <x:v>Pessoal</x:v>
      </x:c>
      <x:c r="D423" t="str">
        <x:v>CONSOLIDADO</x:v>
      </x:c>
      <x:c r="E423" t="str">
        <x:v>BRL</x:v>
      </x:c>
      <x:c r="F423" s="26" t="n">
        <x:v>-0.899</x:v>
      </x:c>
      <x:c r="G423" t="str">
        <x:v>REAL</x:v>
      </x:c>
      <x:c r="H423" t="str">
        <x:v>ERP-ORBITA</x:v>
      </x:c>
    </x:row>
    <x:row r="424">
      <x:c r="A424" s="25" t="n">
        <x:v>46082</x:v>
      </x:c>
      <x:c r="B424" t="str">
        <x:v>4.02.02</x:v>
      </x:c>
      <x:c r="C424" t="str">
        <x:v>Ocupação e utilidades</x:v>
      </x:c>
      <x:c r="D424" t="str">
        <x:v>CONSOLIDADO</x:v>
      </x:c>
      <x:c r="E424" t="str">
        <x:v>BRL</x:v>
      </x:c>
      <x:c r="F424" s="26" t="n">
        <x:v>-0.506</x:v>
      </x:c>
      <x:c r="G424" t="str">
        <x:v>REAL</x:v>
      </x:c>
      <x:c r="H424" t="str">
        <x:v>ERP-ORBITA</x:v>
      </x:c>
    </x:row>
    <x:row r="425">
      <x:c r="A425" s="25" t="n">
        <x:v>46082</x:v>
      </x:c>
      <x:c r="B425" t="str">
        <x:v>4.02.03</x:v>
      </x:c>
      <x:c r="C425" t="str">
        <x:v>Logística e tecnologia</x:v>
      </x:c>
      <x:c r="D425" t="str">
        <x:v>CONSOLIDADO</x:v>
      </x:c>
      <x:c r="E425" t="str">
        <x:v>BRL</x:v>
      </x:c>
      <x:c r="F425" s="26" t="n">
        <x:v>-0.506</x:v>
      </x:c>
      <x:c r="G425" t="str">
        <x:v>REAL</x:v>
      </x:c>
      <x:c r="H425" t="str">
        <x:v>ERP-ORBITA</x:v>
      </x:c>
    </x:row>
    <x:row r="426">
      <x:c r="A426" s="25" t="n">
        <x:v>46082</x:v>
      </x:c>
      <x:c r="B426" t="str">
        <x:v>4.02.04</x:v>
      </x:c>
      <x:c r="C426" t="str">
        <x:v>Despesas comerciais e administrativas</x:v>
      </x:c>
      <x:c r="D426" t="str">
        <x:v>CONSOLIDADO</x:v>
      </x:c>
      <x:c r="E426" t="str">
        <x:v>BRL</x:v>
      </x:c>
      <x:c r="F426" s="26" t="n">
        <x:v>-0.899</x:v>
      </x:c>
      <x:c r="G426" t="str">
        <x:v>REAL</x:v>
      </x:c>
      <x:c r="H426" t="str">
        <x:v>ERP-ORBITA</x:v>
      </x:c>
    </x:row>
    <x:row r="427">
      <x:c r="A427" s="25" t="n">
        <x:v>46082</x:v>
      </x:c>
      <x:c r="B427" t="str">
        <x:v>3.03.01</x:v>
      </x:c>
      <x:c r="C427" t="str">
        <x:v>EBITDA</x:v>
      </x:c>
      <x:c r="D427" t="str">
        <x:v>CONSOLIDADO</x:v>
      </x:c>
      <x:c r="E427" t="str">
        <x:v>BRL</x:v>
      </x:c>
      <x:c r="F427" s="26" t="n">
        <x:v>2.8</x:v>
      </x:c>
      <x:c r="G427" t="str">
        <x:v>REAL</x:v>
      </x:c>
      <x:c r="H427" t="str">
        <x:v>ERP-ORBITA</x:v>
      </x:c>
    </x:row>
    <x:row r="428">
      <x:c r="A428" s="25" t="n">
        <x:v>46082</x:v>
      </x:c>
      <x:c r="B428" t="str">
        <x:v>4.03.01</x:v>
      </x:c>
      <x:c r="C428" t="str">
        <x:v>Depreciação e amortização</x:v>
      </x:c>
      <x:c r="D428" t="str">
        <x:v>CONSOLIDADO</x:v>
      </x:c>
      <x:c r="E428" t="str">
        <x:v>BRL</x:v>
      </x:c>
      <x:c r="F428" s="26" t="n">
        <x:v>-0.479</x:v>
      </x:c>
      <x:c r="G428" t="str">
        <x:v>REAL</x:v>
      </x:c>
      <x:c r="H428" t="str">
        <x:v>ERP-ORBITA</x:v>
      </x:c>
    </x:row>
    <x:row r="429">
      <x:c r="A429" s="25" t="n">
        <x:v>46082</x:v>
      </x:c>
      <x:c r="B429" t="str">
        <x:v>3.04.01</x:v>
      </x:c>
      <x:c r="C429" t="str">
        <x:v>EBIT</x:v>
      </x:c>
      <x:c r="D429" t="str">
        <x:v>CONSOLIDADO</x:v>
      </x:c>
      <x:c r="E429" t="str">
        <x:v>BRL</x:v>
      </x:c>
      <x:c r="F429" s="26" t="n">
        <x:v>2.321</x:v>
      </x:c>
      <x:c r="G429" t="str">
        <x:v>REAL</x:v>
      </x:c>
      <x:c r="H429" t="str">
        <x:v>ERP-ORBITA</x:v>
      </x:c>
    </x:row>
    <x:row r="430">
      <x:c r="A430" s="25" t="n">
        <x:v>46082</x:v>
      </x:c>
      <x:c r="B430" t="str">
        <x:v>4.04.01</x:v>
      </x:c>
      <x:c r="C430" t="str">
        <x:v>Resultado financeiro líquido</x:v>
      </x:c>
      <x:c r="D430" t="str">
        <x:v>CONSOLIDADO</x:v>
      </x:c>
      <x:c r="E430" t="str">
        <x:v>BRL</x:v>
      </x:c>
      <x:c r="F430" s="26" t="n">
        <x:v>-0.855</x:v>
      </x:c>
      <x:c r="G430" t="str">
        <x:v>REAL</x:v>
      </x:c>
      <x:c r="H430" t="str">
        <x:v>ERP-ORBITA</x:v>
      </x:c>
    </x:row>
    <x:row r="431">
      <x:c r="A431" s="25" t="n">
        <x:v>46082</x:v>
      </x:c>
      <x:c r="B431" t="str">
        <x:v>3.05.01</x:v>
      </x:c>
      <x:c r="C431" t="str">
        <x:v>Lucro antes de IR/CS</x:v>
      </x:c>
      <x:c r="D431" t="str">
        <x:v>CONSOLIDADO</x:v>
      </x:c>
      <x:c r="E431" t="str">
        <x:v>BRL</x:v>
      </x:c>
      <x:c r="F431" s="26" t="n">
        <x:v>1.466</x:v>
      </x:c>
      <x:c r="G431" t="str">
        <x:v>REAL</x:v>
      </x:c>
      <x:c r="H431" t="str">
        <x:v>ERP-ORBITA</x:v>
      </x:c>
    </x:row>
    <x:row r="432">
      <x:c r="A432" s="25" t="n">
        <x:v>46082</x:v>
      </x:c>
      <x:c r="B432" t="str">
        <x:v>4.05.01</x:v>
      </x:c>
      <x:c r="C432" t="str">
        <x:v>IRPJ e CSLL</x:v>
      </x:c>
      <x:c r="D432" t="str">
        <x:v>CONSOLIDADO</x:v>
      </x:c>
      <x:c r="E432" t="str">
        <x:v>BRL</x:v>
      </x:c>
      <x:c r="F432" s="26" t="n">
        <x:v>-0.499</x:v>
      </x:c>
      <x:c r="G432" t="str">
        <x:v>REAL</x:v>
      </x:c>
      <x:c r="H432" t="str">
        <x:v>ERP-ORBITA</x:v>
      </x:c>
    </x:row>
    <x:row r="433">
      <x:c r="A433" s="25" t="n">
        <x:v>46082</x:v>
      </x:c>
      <x:c r="B433" t="str">
        <x:v>3.06.01</x:v>
      </x:c>
      <x:c r="C433" t="str">
        <x:v>Lucro líquido</x:v>
      </x:c>
      <x:c r="D433" t="str">
        <x:v>CONSOLIDADO</x:v>
      </x:c>
      <x:c r="E433" t="str">
        <x:v>BRL</x:v>
      </x:c>
      <x:c r="F433" s="26" t="n">
        <x:v>0.968</x:v>
      </x:c>
      <x:c r="G433" t="str">
        <x:v>REAL</x:v>
      </x:c>
      <x:c r="H433" t="str">
        <x:v>ERP-ORBITA</x:v>
      </x:c>
    </x:row>
    <x:row r="434">
      <x:c r="A434" s="25" t="n">
        <x:v>46113</x:v>
      </x:c>
      <x:c r="B434" t="str">
        <x:v>3.01.01</x:v>
      </x:c>
      <x:c r="C434" t="str">
        <x:v>Receita bruta de vendas</x:v>
      </x:c>
      <x:c r="D434" t="str">
        <x:v>CONSOLIDADO</x:v>
      </x:c>
      <x:c r="E434" t="str">
        <x:v>BRL</x:v>
      </x:c>
      <x:c r="F434" s="26" t="n">
        <x:v>18.229</x:v>
      </x:c>
      <x:c r="G434" t="str">
        <x:v>REAL</x:v>
      </x:c>
      <x:c r="H434" t="str">
        <x:v>ERP-ORBITA</x:v>
      </x:c>
    </x:row>
    <x:row r="435">
      <x:c r="A435" s="25" t="n">
        <x:v>46113</x:v>
      </x:c>
      <x:c r="B435" t="str">
        <x:v>3.01.02</x:v>
      </x:c>
      <x:c r="C435" t="str">
        <x:v>Deduções e impostos sobre vendas</x:v>
      </x:c>
      <x:c r="D435" t="str">
        <x:v>CONSOLIDADO</x:v>
      </x:c>
      <x:c r="E435" t="str">
        <x:v>BRL</x:v>
      </x:c>
      <x:c r="F435" s="26" t="n">
        <x:v>-0.729</x:v>
      </x:c>
      <x:c r="G435" t="str">
        <x:v>REAL</x:v>
      </x:c>
      <x:c r="H435" t="str">
        <x:v>ERP-ORBITA</x:v>
      </x:c>
    </x:row>
    <x:row r="436">
      <x:c r="A436" s="25" t="n">
        <x:v>46113</x:v>
      </x:c>
      <x:c r="B436" t="str">
        <x:v>3.01.03</x:v>
      </x:c>
      <x:c r="C436" t="str">
        <x:v>Receita líquida</x:v>
      </x:c>
      <x:c r="D436" t="str">
        <x:v>CONSOLIDADO</x:v>
      </x:c>
      <x:c r="E436" t="str">
        <x:v>BRL</x:v>
      </x:c>
      <x:c r="F436" s="26" t="n">
        <x:v>17.5</x:v>
      </x:c>
      <x:c r="G436" t="str">
        <x:v>REAL</x:v>
      </x:c>
      <x:c r="H436" t="str">
        <x:v>ERP-ORBITA</x:v>
      </x:c>
    </x:row>
    <x:row r="437">
      <x:c r="A437" s="25" t="n">
        <x:v>46113</x:v>
      </x:c>
      <x:c r="B437" t="str">
        <x:v>4.01.01</x:v>
      </x:c>
      <x:c r="C437" t="str">
        <x:v>Custo das mercadorias vendidas</x:v>
      </x:c>
      <x:c r="D437" t="str">
        <x:v>CONSOLIDADO</x:v>
      </x:c>
      <x:c r="E437" t="str">
        <x:v>BRL</x:v>
      </x:c>
      <x:c r="F437" s="26" t="n">
        <x:v>-11.76</x:v>
      </x:c>
      <x:c r="G437" t="str">
        <x:v>REAL</x:v>
      </x:c>
      <x:c r="H437" t="str">
        <x:v>ERP-ORBITA</x:v>
      </x:c>
    </x:row>
    <x:row r="438">
      <x:c r="A438" s="25" t="n">
        <x:v>46113</x:v>
      </x:c>
      <x:c r="B438" t="str">
        <x:v>3.02.01</x:v>
      </x:c>
      <x:c r="C438" t="str">
        <x:v>Lucro bruto</x:v>
      </x:c>
      <x:c r="D438" t="str">
        <x:v>CONSOLIDADO</x:v>
      </x:c>
      <x:c r="E438" t="str">
        <x:v>BRL</x:v>
      </x:c>
      <x:c r="F438" s="26" t="n">
        <x:v>5.74</x:v>
      </x:c>
      <x:c r="G438" t="str">
        <x:v>REAL</x:v>
      </x:c>
      <x:c r="H438" t="str">
        <x:v>ERP-ORBITA</x:v>
      </x:c>
    </x:row>
    <x:row r="439">
      <x:c r="A439" s="25" t="n">
        <x:v>46113</x:v>
      </x:c>
      <x:c r="B439" t="str">
        <x:v>4.02.01</x:v>
      </x:c>
      <x:c r="C439" t="str">
        <x:v>Pessoal</x:v>
      </x:c>
      <x:c r="D439" t="str">
        <x:v>CONSOLIDADO</x:v>
      </x:c>
      <x:c r="E439" t="str">
        <x:v>BRL</x:v>
      </x:c>
      <x:c r="F439" s="26" t="n">
        <x:v>-0.909</x:v>
      </x:c>
      <x:c r="G439" t="str">
        <x:v>REAL</x:v>
      </x:c>
      <x:c r="H439" t="str">
        <x:v>ERP-ORBITA</x:v>
      </x:c>
    </x:row>
    <x:row r="440">
      <x:c r="A440" s="25" t="n">
        <x:v>46113</x:v>
      </x:c>
      <x:c r="B440" t="str">
        <x:v>4.02.02</x:v>
      </x:c>
      <x:c r="C440" t="str">
        <x:v>Ocupação e utilidades</x:v>
      </x:c>
      <x:c r="D440" t="str">
        <x:v>CONSOLIDADO</x:v>
      </x:c>
      <x:c r="E440" t="str">
        <x:v>BRL</x:v>
      </x:c>
      <x:c r="F440" s="26" t="n">
        <x:v>-0.511</x:v>
      </x:c>
      <x:c r="G440" t="str">
        <x:v>REAL</x:v>
      </x:c>
      <x:c r="H440" t="str">
        <x:v>ERP-ORBITA</x:v>
      </x:c>
    </x:row>
    <x:row r="441">
      <x:c r="A441" s="25" t="n">
        <x:v>46113</x:v>
      </x:c>
      <x:c r="B441" t="str">
        <x:v>4.02.03</x:v>
      </x:c>
      <x:c r="C441" t="str">
        <x:v>Logística e tecnologia</x:v>
      </x:c>
      <x:c r="D441" t="str">
        <x:v>CONSOLIDADO</x:v>
      </x:c>
      <x:c r="E441" t="str">
        <x:v>BRL</x:v>
      </x:c>
      <x:c r="F441" s="26" t="n">
        <x:v>-0.511</x:v>
      </x:c>
      <x:c r="G441" t="str">
        <x:v>REAL</x:v>
      </x:c>
      <x:c r="H441" t="str">
        <x:v>ERP-ORBITA</x:v>
      </x:c>
    </x:row>
    <x:row r="442">
      <x:c r="A442" s="25" t="n">
        <x:v>46113</x:v>
      </x:c>
      <x:c r="B442" t="str">
        <x:v>4.02.04</x:v>
      </x:c>
      <x:c r="C442" t="str">
        <x:v>Despesas comerciais e administrativas</x:v>
      </x:c>
      <x:c r="D442" t="str">
        <x:v>CONSOLIDADO</x:v>
      </x:c>
      <x:c r="E442" t="str">
        <x:v>BRL</x:v>
      </x:c>
      <x:c r="F442" s="26" t="n">
        <x:v>-0.909</x:v>
      </x:c>
      <x:c r="G442" t="str">
        <x:v>REAL</x:v>
      </x:c>
      <x:c r="H442" t="str">
        <x:v>ERP-ORBITA</x:v>
      </x:c>
    </x:row>
    <x:row r="443">
      <x:c r="A443" s="25" t="n">
        <x:v>46113</x:v>
      </x:c>
      <x:c r="B443" t="str">
        <x:v>3.03.01</x:v>
      </x:c>
      <x:c r="C443" t="str">
        <x:v>EBITDA</x:v>
      </x:c>
      <x:c r="D443" t="str">
        <x:v>CONSOLIDADO</x:v>
      </x:c>
      <x:c r="E443" t="str">
        <x:v>BRL</x:v>
      </x:c>
      <x:c r="F443" s="26" t="n">
        <x:v>2.9</x:v>
      </x:c>
      <x:c r="G443" t="str">
        <x:v>REAL</x:v>
      </x:c>
      <x:c r="H443" t="str">
        <x:v>ERP-ORBITA</x:v>
      </x:c>
    </x:row>
    <x:row r="444">
      <x:c r="A444" s="25" t="n">
        <x:v>46113</x:v>
      </x:c>
      <x:c r="B444" t="str">
        <x:v>4.03.01</x:v>
      </x:c>
      <x:c r="C444" t="str">
        <x:v>Depreciação e amortização</x:v>
      </x:c>
      <x:c r="D444" t="str">
        <x:v>CONSOLIDADO</x:v>
      </x:c>
      <x:c r="E444" t="str">
        <x:v>BRL</x:v>
      </x:c>
      <x:c r="F444" s="26" t="n">
        <x:v>-0.49</x:v>
      </x:c>
      <x:c r="G444" t="str">
        <x:v>REAL</x:v>
      </x:c>
      <x:c r="H444" t="str">
        <x:v>ERP-ORBITA</x:v>
      </x:c>
    </x:row>
    <x:row r="445">
      <x:c r="A445" s="25" t="n">
        <x:v>46113</x:v>
      </x:c>
      <x:c r="B445" t="str">
        <x:v>3.04.01</x:v>
      </x:c>
      <x:c r="C445" t="str">
        <x:v>EBIT</x:v>
      </x:c>
      <x:c r="D445" t="str">
        <x:v>CONSOLIDADO</x:v>
      </x:c>
      <x:c r="E445" t="str">
        <x:v>BRL</x:v>
      </x:c>
      <x:c r="F445" s="26" t="n">
        <x:v>2.41</x:v>
      </x:c>
      <x:c r="G445" t="str">
        <x:v>REAL</x:v>
      </x:c>
      <x:c r="H445" t="str">
        <x:v>ERP-ORBITA</x:v>
      </x:c>
    </x:row>
    <x:row r="446">
      <x:c r="A446" s="25" t="n">
        <x:v>46113</x:v>
      </x:c>
      <x:c r="B446" t="str">
        <x:v>4.04.01</x:v>
      </x:c>
      <x:c r="C446" t="str">
        <x:v>Resultado financeiro líquido</x:v>
      </x:c>
      <x:c r="D446" t="str">
        <x:v>CONSOLIDADO</x:v>
      </x:c>
      <x:c r="E446" t="str">
        <x:v>BRL</x:v>
      </x:c>
      <x:c r="F446" s="26" t="n">
        <x:v>-0.875</x:v>
      </x:c>
      <x:c r="G446" t="str">
        <x:v>REAL</x:v>
      </x:c>
      <x:c r="H446" t="str">
        <x:v>ERP-ORBITA</x:v>
      </x:c>
    </x:row>
    <x:row r="447">
      <x:c r="A447" s="25" t="n">
        <x:v>46113</x:v>
      </x:c>
      <x:c r="B447" t="str">
        <x:v>3.05.01</x:v>
      </x:c>
      <x:c r="C447" t="str">
        <x:v>Lucro antes de IR/CS</x:v>
      </x:c>
      <x:c r="D447" t="str">
        <x:v>CONSOLIDADO</x:v>
      </x:c>
      <x:c r="E447" t="str">
        <x:v>BRL</x:v>
      </x:c>
      <x:c r="F447" s="26" t="n">
        <x:v>1.535</x:v>
      </x:c>
      <x:c r="G447" t="str">
        <x:v>REAL</x:v>
      </x:c>
      <x:c r="H447" t="str">
        <x:v>ERP-ORBITA</x:v>
      </x:c>
    </x:row>
    <x:row r="448">
      <x:c r="A448" s="25" t="n">
        <x:v>46113</x:v>
      </x:c>
      <x:c r="B448" t="str">
        <x:v>4.05.01</x:v>
      </x:c>
      <x:c r="C448" t="str">
        <x:v>IRPJ e CSLL</x:v>
      </x:c>
      <x:c r="D448" t="str">
        <x:v>CONSOLIDADO</x:v>
      </x:c>
      <x:c r="E448" t="str">
        <x:v>BRL</x:v>
      </x:c>
      <x:c r="F448" s="26" t="n">
        <x:v>-0.522</x:v>
      </x:c>
      <x:c r="G448" t="str">
        <x:v>REAL</x:v>
      </x:c>
      <x:c r="H448" t="str">
        <x:v>ERP-ORBITA</x:v>
      </x:c>
    </x:row>
    <x:row r="449">
      <x:c r="A449" s="25" t="n">
        <x:v>46113</x:v>
      </x:c>
      <x:c r="B449" t="str">
        <x:v>3.06.01</x:v>
      </x:c>
      <x:c r="C449" t="str">
        <x:v>Lucro líquido</x:v>
      </x:c>
      <x:c r="D449" t="str">
        <x:v>CONSOLIDADO</x:v>
      </x:c>
      <x:c r="E449" t="str">
        <x:v>BRL</x:v>
      </x:c>
      <x:c r="F449" s="26" t="n">
        <x:v>1.013</x:v>
      </x:c>
      <x:c r="G449" t="str">
        <x:v>REAL</x:v>
      </x:c>
      <x:c r="H449" t="str">
        <x:v>ERP-ORBITA</x:v>
      </x:c>
    </x:row>
    <x:row r="450">
      <x:c r="A450" s="25" t="n">
        <x:v>46143</x:v>
      </x:c>
      <x:c r="B450" t="str">
        <x:v>3.01.01</x:v>
      </x:c>
      <x:c r="C450" t="str">
        <x:v>Receita bruta de vendas</x:v>
      </x:c>
      <x:c r="D450" t="str">
        <x:v>CONSOLIDADO</x:v>
      </x:c>
      <x:c r="E450" t="str">
        <x:v>BRL</x:v>
      </x:c>
      <x:c r="F450" s="26" t="n">
        <x:v>18.646</x:v>
      </x:c>
      <x:c r="G450" t="str">
        <x:v>REAL</x:v>
      </x:c>
      <x:c r="H450" t="str">
        <x:v>ERP-ORBITA</x:v>
      </x:c>
    </x:row>
    <x:row r="451">
      <x:c r="A451" s="25" t="n">
        <x:v>46143</x:v>
      </x:c>
      <x:c r="B451" t="str">
        <x:v>3.01.02</x:v>
      </x:c>
      <x:c r="C451" t="str">
        <x:v>Deduções e impostos sobre vendas</x:v>
      </x:c>
      <x:c r="D451" t="str">
        <x:v>CONSOLIDADO</x:v>
      </x:c>
      <x:c r="E451" t="str">
        <x:v>BRL</x:v>
      </x:c>
      <x:c r="F451" s="26" t="n">
        <x:v>-0.746</x:v>
      </x:c>
      <x:c r="G451" t="str">
        <x:v>REAL</x:v>
      </x:c>
      <x:c r="H451" t="str">
        <x:v>ERP-ORBITA</x:v>
      </x:c>
    </x:row>
    <x:row r="452">
      <x:c r="A452" s="25" t="n">
        <x:v>46143</x:v>
      </x:c>
      <x:c r="B452" t="str">
        <x:v>3.01.03</x:v>
      </x:c>
      <x:c r="C452" t="str">
        <x:v>Receita líquida</x:v>
      </x:c>
      <x:c r="D452" t="str">
        <x:v>CONSOLIDADO</x:v>
      </x:c>
      <x:c r="E452" t="str">
        <x:v>BRL</x:v>
      </x:c>
      <x:c r="F452" s="26" t="n">
        <x:v>17.9</x:v>
      </x:c>
      <x:c r="G452" t="str">
        <x:v>REAL</x:v>
      </x:c>
      <x:c r="H452" t="str">
        <x:v>ERP-ORBITA</x:v>
      </x:c>
    </x:row>
    <x:row r="453">
      <x:c r="A453" s="25" t="n">
        <x:v>46143</x:v>
      </x:c>
      <x:c r="B453" t="str">
        <x:v>4.01.01</x:v>
      </x:c>
      <x:c r="C453" t="str">
        <x:v>Custo das mercadorias vendidas</x:v>
      </x:c>
      <x:c r="D453" t="str">
        <x:v>CONSOLIDADO</x:v>
      </x:c>
      <x:c r="E453" t="str">
        <x:v>BRL</x:v>
      </x:c>
      <x:c r="F453" s="26" t="n">
        <x:v>-12.029</x:v>
      </x:c>
      <x:c r="G453" t="str">
        <x:v>REAL</x:v>
      </x:c>
      <x:c r="H453" t="str">
        <x:v>ERP-ORBITA</x:v>
      </x:c>
    </x:row>
    <x:row r="454">
      <x:c r="A454" s="25" t="n">
        <x:v>46143</x:v>
      </x:c>
      <x:c r="B454" t="str">
        <x:v>3.02.01</x:v>
      </x:c>
      <x:c r="C454" t="str">
        <x:v>Lucro bruto</x:v>
      </x:c>
      <x:c r="D454" t="str">
        <x:v>CONSOLIDADO</x:v>
      </x:c>
      <x:c r="E454" t="str">
        <x:v>BRL</x:v>
      </x:c>
      <x:c r="F454" s="26" t="n">
        <x:v>5.871</x:v>
      </x:c>
      <x:c r="G454" t="str">
        <x:v>REAL</x:v>
      </x:c>
      <x:c r="H454" t="str">
        <x:v>ERP-ORBITA</x:v>
      </x:c>
    </x:row>
    <x:row r="455">
      <x:c r="A455" s="25" t="n">
        <x:v>46143</x:v>
      </x:c>
      <x:c r="B455" t="str">
        <x:v>4.02.01</x:v>
      </x:c>
      <x:c r="C455" t="str">
        <x:v>Pessoal</x:v>
      </x:c>
      <x:c r="D455" t="str">
        <x:v>CONSOLIDADO</x:v>
      </x:c>
      <x:c r="E455" t="str">
        <x:v>BRL</x:v>
      </x:c>
      <x:c r="F455" s="26" t="n">
        <x:v>-0.919</x:v>
      </x:c>
      <x:c r="G455" t="str">
        <x:v>REAL</x:v>
      </x:c>
      <x:c r="H455" t="str">
        <x:v>ERP-ORBITA</x:v>
      </x:c>
    </x:row>
    <x:row r="456">
      <x:c r="A456" s="25" t="n">
        <x:v>46143</x:v>
      </x:c>
      <x:c r="B456" t="str">
        <x:v>4.02.02</x:v>
      </x:c>
      <x:c r="C456" t="str">
        <x:v>Ocupação e utilidades</x:v>
      </x:c>
      <x:c r="D456" t="str">
        <x:v>CONSOLIDADO</x:v>
      </x:c>
      <x:c r="E456" t="str">
        <x:v>BRL</x:v>
      </x:c>
      <x:c r="F456" s="26" t="n">
        <x:v>-0.517</x:v>
      </x:c>
      <x:c r="G456" t="str">
        <x:v>REAL</x:v>
      </x:c>
      <x:c r="H456" t="str">
        <x:v>ERP-ORBITA</x:v>
      </x:c>
    </x:row>
    <x:row r="457">
      <x:c r="A457" s="25" t="n">
        <x:v>46143</x:v>
      </x:c>
      <x:c r="B457" t="str">
        <x:v>4.02.03</x:v>
      </x:c>
      <x:c r="C457" t="str">
        <x:v>Logística e tecnologia</x:v>
      </x:c>
      <x:c r="D457" t="str">
        <x:v>CONSOLIDADO</x:v>
      </x:c>
      <x:c r="E457" t="str">
        <x:v>BRL</x:v>
      </x:c>
      <x:c r="F457" s="26" t="n">
        <x:v>-0.517</x:v>
      </x:c>
      <x:c r="G457" t="str">
        <x:v>REAL</x:v>
      </x:c>
      <x:c r="H457" t="str">
        <x:v>ERP-ORBITA</x:v>
      </x:c>
    </x:row>
    <x:row r="458">
      <x:c r="A458" s="25" t="n">
        <x:v>46143</x:v>
      </x:c>
      <x:c r="B458" t="str">
        <x:v>4.02.04</x:v>
      </x:c>
      <x:c r="C458" t="str">
        <x:v>Despesas comerciais e administrativas</x:v>
      </x:c>
      <x:c r="D458" t="str">
        <x:v>CONSOLIDADO</x:v>
      </x:c>
      <x:c r="E458" t="str">
        <x:v>BRL</x:v>
      </x:c>
      <x:c r="F458" s="26" t="n">
        <x:v>-0.919</x:v>
      </x:c>
      <x:c r="G458" t="str">
        <x:v>REAL</x:v>
      </x:c>
      <x:c r="H458" t="str">
        <x:v>ERP-ORBITA</x:v>
      </x:c>
    </x:row>
    <x:row r="459">
      <x:c r="A459" s="25" t="n">
        <x:v>46143</x:v>
      </x:c>
      <x:c r="B459" t="str">
        <x:v>3.03.01</x:v>
      </x:c>
      <x:c r="C459" t="str">
        <x:v>EBITDA</x:v>
      </x:c>
      <x:c r="D459" t="str">
        <x:v>CONSOLIDADO</x:v>
      </x:c>
      <x:c r="E459" t="str">
        <x:v>BRL</x:v>
      </x:c>
      <x:c r="F459" s="26" t="n">
        <x:v>3</x:v>
      </x:c>
      <x:c r="G459" t="str">
        <x:v>REAL</x:v>
      </x:c>
      <x:c r="H459" t="str">
        <x:v>ERP-ORBITA</x:v>
      </x:c>
    </x:row>
    <x:row r="460">
      <x:c r="A460" s="25" t="n">
        <x:v>46143</x:v>
      </x:c>
      <x:c r="B460" t="str">
        <x:v>4.03.01</x:v>
      </x:c>
      <x:c r="C460" t="str">
        <x:v>Depreciação e amortização</x:v>
      </x:c>
      <x:c r="D460" t="str">
        <x:v>CONSOLIDADO</x:v>
      </x:c>
      <x:c r="E460" t="str">
        <x:v>BRL</x:v>
      </x:c>
      <x:c r="F460" s="26" t="n">
        <x:v>-0.501</x:v>
      </x:c>
      <x:c r="G460" t="str">
        <x:v>REAL</x:v>
      </x:c>
      <x:c r="H460" t="str">
        <x:v>ERP-ORBITA</x:v>
      </x:c>
    </x:row>
    <x:row r="461">
      <x:c r="A461" s="25" t="n">
        <x:v>46143</x:v>
      </x:c>
      <x:c r="B461" t="str">
        <x:v>3.04.01</x:v>
      </x:c>
      <x:c r="C461" t="str">
        <x:v>EBIT</x:v>
      </x:c>
      <x:c r="D461" t="str">
        <x:v>CONSOLIDADO</x:v>
      </x:c>
      <x:c r="E461" t="str">
        <x:v>BRL</x:v>
      </x:c>
      <x:c r="F461" s="26" t="n">
        <x:v>2.499</x:v>
      </x:c>
      <x:c r="G461" t="str">
        <x:v>REAL</x:v>
      </x:c>
      <x:c r="H461" t="str">
        <x:v>ERP-ORBITA</x:v>
      </x:c>
    </x:row>
    <x:row r="462">
      <x:c r="A462" s="25" t="n">
        <x:v>46143</x:v>
      </x:c>
      <x:c r="B462" t="str">
        <x:v>4.04.01</x:v>
      </x:c>
      <x:c r="C462" t="str">
        <x:v>Resultado financeiro líquido</x:v>
      </x:c>
      <x:c r="D462" t="str">
        <x:v>CONSOLIDADO</x:v>
      </x:c>
      <x:c r="E462" t="str">
        <x:v>BRL</x:v>
      </x:c>
      <x:c r="F462" s="26" t="n">
        <x:v>-0.895</x:v>
      </x:c>
      <x:c r="G462" t="str">
        <x:v>REAL</x:v>
      </x:c>
      <x:c r="H462" t="str">
        <x:v>ERP-ORBITA</x:v>
      </x:c>
    </x:row>
    <x:row r="463">
      <x:c r="A463" s="25" t="n">
        <x:v>46143</x:v>
      </x:c>
      <x:c r="B463" t="str">
        <x:v>3.05.01</x:v>
      </x:c>
      <x:c r="C463" t="str">
        <x:v>Lucro antes de IR/CS</x:v>
      </x:c>
      <x:c r="D463" t="str">
        <x:v>CONSOLIDADO</x:v>
      </x:c>
      <x:c r="E463" t="str">
        <x:v>BRL</x:v>
      </x:c>
      <x:c r="F463" s="26" t="n">
        <x:v>1.604</x:v>
      </x:c>
      <x:c r="G463" t="str">
        <x:v>REAL</x:v>
      </x:c>
      <x:c r="H463" t="str">
        <x:v>ERP-ORBITA</x:v>
      </x:c>
    </x:row>
    <x:row r="464">
      <x:c r="A464" s="25" t="n">
        <x:v>46143</x:v>
      </x:c>
      <x:c r="B464" t="str">
        <x:v>4.05.01</x:v>
      </x:c>
      <x:c r="C464" t="str">
        <x:v>IRPJ e CSLL</x:v>
      </x:c>
      <x:c r="D464" t="str">
        <x:v>CONSOLIDADO</x:v>
      </x:c>
      <x:c r="E464" t="str">
        <x:v>BRL</x:v>
      </x:c>
      <x:c r="F464" s="26" t="n">
        <x:v>-0.545</x:v>
      </x:c>
      <x:c r="G464" t="str">
        <x:v>REAL</x:v>
      </x:c>
      <x:c r="H464" t="str">
        <x:v>ERP-ORBITA</x:v>
      </x:c>
    </x:row>
    <x:row r="465">
      <x:c r="A465" s="25" t="n">
        <x:v>46143</x:v>
      </x:c>
      <x:c r="B465" t="str">
        <x:v>3.06.01</x:v>
      </x:c>
      <x:c r="C465" t="str">
        <x:v>Lucro líquido</x:v>
      </x:c>
      <x:c r="D465" t="str">
        <x:v>CONSOLIDADO</x:v>
      </x:c>
      <x:c r="E465" t="str">
        <x:v>BRL</x:v>
      </x:c>
      <x:c r="F465" s="26" t="n">
        <x:v>1.059</x:v>
      </x:c>
      <x:c r="G465" t="str">
        <x:v>REAL</x:v>
      </x:c>
      <x:c r="H465" t="str">
        <x:v>ERP-ORBITA</x:v>
      </x:c>
    </x:row>
    <x:row r="466">
      <x:c r="A466" s="25" t="n">
        <x:v>46174</x:v>
      </x:c>
      <x:c r="B466" t="str">
        <x:v>3.01.01</x:v>
      </x:c>
      <x:c r="C466" t="str">
        <x:v>Receita bruta de vendas</x:v>
      </x:c>
      <x:c r="D466" t="str">
        <x:v>CONSOLIDADO</x:v>
      </x:c>
      <x:c r="E466" t="str">
        <x:v>BRL</x:v>
      </x:c>
      <x:c r="F466" s="26" t="n">
        <x:v>18.958</x:v>
      </x:c>
      <x:c r="G466" t="str">
        <x:v>REAL</x:v>
      </x:c>
      <x:c r="H466" t="str">
        <x:v>ERP-ORBITA</x:v>
      </x:c>
    </x:row>
    <x:row r="467">
      <x:c r="A467" s="25" t="n">
        <x:v>46174</x:v>
      </x:c>
      <x:c r="B467" t="str">
        <x:v>3.01.02</x:v>
      </x:c>
      <x:c r="C467" t="str">
        <x:v>Deduções e impostos sobre vendas</x:v>
      </x:c>
      <x:c r="D467" t="str">
        <x:v>CONSOLIDADO</x:v>
      </x:c>
      <x:c r="E467" t="str">
        <x:v>BRL</x:v>
      </x:c>
      <x:c r="F467" s="26" t="n">
        <x:v>-0.758</x:v>
      </x:c>
      <x:c r="G467" t="str">
        <x:v>REAL</x:v>
      </x:c>
      <x:c r="H467" t="str">
        <x:v>ERP-ORBITA</x:v>
      </x:c>
    </x:row>
    <x:row r="468">
      <x:c r="A468" s="25" t="n">
        <x:v>46174</x:v>
      </x:c>
      <x:c r="B468" t="str">
        <x:v>3.01.03</x:v>
      </x:c>
      <x:c r="C468" t="str">
        <x:v>Receita líquida</x:v>
      </x:c>
      <x:c r="D468" t="str">
        <x:v>CONSOLIDADO</x:v>
      </x:c>
      <x:c r="E468" t="str">
        <x:v>BRL</x:v>
      </x:c>
      <x:c r="F468" s="26" t="n">
        <x:v>18.2</x:v>
      </x:c>
      <x:c r="G468" t="str">
        <x:v>REAL</x:v>
      </x:c>
      <x:c r="H468" t="str">
        <x:v>ERP-ORBITA</x:v>
      </x:c>
    </x:row>
    <x:row r="469">
      <x:c r="A469" s="25" t="n">
        <x:v>46174</x:v>
      </x:c>
      <x:c r="B469" t="str">
        <x:v>4.01.01</x:v>
      </x:c>
      <x:c r="C469" t="str">
        <x:v>Custo das mercadorias vendidas</x:v>
      </x:c>
      <x:c r="D469" t="str">
        <x:v>CONSOLIDADO</x:v>
      </x:c>
      <x:c r="E469" t="str">
        <x:v>BRL</x:v>
      </x:c>
      <x:c r="F469" s="26" t="n">
        <x:v>-12.23</x:v>
      </x:c>
      <x:c r="G469" t="str">
        <x:v>REAL</x:v>
      </x:c>
      <x:c r="H469" t="str">
        <x:v>ERP-ORBITA</x:v>
      </x:c>
    </x:row>
    <x:row r="470">
      <x:c r="A470" s="25" t="n">
        <x:v>46174</x:v>
      </x:c>
      <x:c r="B470" t="str">
        <x:v>3.02.01</x:v>
      </x:c>
      <x:c r="C470" t="str">
        <x:v>Lucro bruto</x:v>
      </x:c>
      <x:c r="D470" t="str">
        <x:v>CONSOLIDADO</x:v>
      </x:c>
      <x:c r="E470" t="str">
        <x:v>BRL</x:v>
      </x:c>
      <x:c r="F470" s="26" t="n">
        <x:v>5.97</x:v>
      </x:c>
      <x:c r="G470" t="str">
        <x:v>REAL</x:v>
      </x:c>
      <x:c r="H470" t="str">
        <x:v>ERP-ORBITA</x:v>
      </x:c>
    </x:row>
    <x:row r="471">
      <x:c r="A471" s="25" t="n">
        <x:v>46174</x:v>
      </x:c>
      <x:c r="B471" t="str">
        <x:v>4.02.01</x:v>
      </x:c>
      <x:c r="C471" t="str">
        <x:v>Pessoal</x:v>
      </x:c>
      <x:c r="D471" t="str">
        <x:v>CONSOLIDADO</x:v>
      </x:c>
      <x:c r="E471" t="str">
        <x:v>BRL</x:v>
      </x:c>
      <x:c r="F471" s="26" t="n">
        <x:v>-0.886</x:v>
      </x:c>
      <x:c r="G471" t="str">
        <x:v>REAL</x:v>
      </x:c>
      <x:c r="H471" t="str">
        <x:v>ERP-ORBITA</x:v>
      </x:c>
    </x:row>
    <x:row r="472">
      <x:c r="A472" s="25" t="n">
        <x:v>46174</x:v>
      </x:c>
      <x:c r="B472" t="str">
        <x:v>4.02.02</x:v>
      </x:c>
      <x:c r="C472" t="str">
        <x:v>Ocupação e utilidades</x:v>
      </x:c>
      <x:c r="D472" t="str">
        <x:v>CONSOLIDADO</x:v>
      </x:c>
      <x:c r="E472" t="str">
        <x:v>BRL</x:v>
      </x:c>
      <x:c r="F472" s="26" t="n">
        <x:v>-0.499</x:v>
      </x:c>
      <x:c r="G472" t="str">
        <x:v>REAL</x:v>
      </x:c>
      <x:c r="H472" t="str">
        <x:v>ERP-ORBITA</x:v>
      </x:c>
    </x:row>
    <x:row r="473">
      <x:c r="A473" s="25" t="n">
        <x:v>46174</x:v>
      </x:c>
      <x:c r="B473" t="str">
        <x:v>4.02.03</x:v>
      </x:c>
      <x:c r="C473" t="str">
        <x:v>Logística e tecnologia</x:v>
      </x:c>
      <x:c r="D473" t="str">
        <x:v>CONSOLIDADO</x:v>
      </x:c>
      <x:c r="E473" t="str">
        <x:v>BRL</x:v>
      </x:c>
      <x:c r="F473" s="26" t="n">
        <x:v>-0.499</x:v>
      </x:c>
      <x:c r="G473" t="str">
        <x:v>REAL</x:v>
      </x:c>
      <x:c r="H473" t="str">
        <x:v>ERP-ORBITA</x:v>
      </x:c>
    </x:row>
    <x:row r="474">
      <x:c r="A474" s="25" t="n">
        <x:v>46174</x:v>
      </x:c>
      <x:c r="B474" t="str">
        <x:v>4.02.04</x:v>
      </x:c>
      <x:c r="C474" t="str">
        <x:v>Despesas comerciais e administrativas</x:v>
      </x:c>
      <x:c r="D474" t="str">
        <x:v>CONSOLIDADO</x:v>
      </x:c>
      <x:c r="E474" t="str">
        <x:v>BRL</x:v>
      </x:c>
      <x:c r="F474" s="26" t="n">
        <x:v>-0.886</x:v>
      </x:c>
      <x:c r="G474" t="str">
        <x:v>REAL</x:v>
      </x:c>
      <x:c r="H474" t="str">
        <x:v>ERP-ORBITA</x:v>
      </x:c>
    </x:row>
    <x:row r="475">
      <x:c r="A475" s="25" t="n">
        <x:v>46174</x:v>
      </x:c>
      <x:c r="B475" t="str">
        <x:v>3.03.01</x:v>
      </x:c>
      <x:c r="C475" t="str">
        <x:v>EBITDA</x:v>
      </x:c>
      <x:c r="D475" t="str">
        <x:v>CONSOLIDADO</x:v>
      </x:c>
      <x:c r="E475" t="str">
        <x:v>BRL</x:v>
      </x:c>
      <x:c r="F475" s="26" t="n">
        <x:v>3.2</x:v>
      </x:c>
      <x:c r="G475" t="str">
        <x:v>REAL</x:v>
      </x:c>
      <x:c r="H475" t="str">
        <x:v>ERP-ORBITA</x:v>
      </x:c>
    </x:row>
    <x:row r="476">
      <x:c r="A476" s="25" t="n">
        <x:v>46174</x:v>
      </x:c>
      <x:c r="B476" t="str">
        <x:v>4.03.01</x:v>
      </x:c>
      <x:c r="C476" t="str">
        <x:v>Depreciação e amortização</x:v>
      </x:c>
      <x:c r="D476" t="str">
        <x:v>CONSOLIDADO</x:v>
      </x:c>
      <x:c r="E476" t="str">
        <x:v>BRL</x:v>
      </x:c>
      <x:c r="F476" s="26" t="n">
        <x:v>-0.51</x:v>
      </x:c>
      <x:c r="G476" t="str">
        <x:v>REAL</x:v>
      </x:c>
      <x:c r="H476" t="str">
        <x:v>ERP-ORBITA</x:v>
      </x:c>
    </x:row>
    <x:row r="477">
      <x:c r="A477" s="25" t="n">
        <x:v>46174</x:v>
      </x:c>
      <x:c r="B477" t="str">
        <x:v>3.04.01</x:v>
      </x:c>
      <x:c r="C477" t="str">
        <x:v>EBIT</x:v>
      </x:c>
      <x:c r="D477" t="str">
        <x:v>CONSOLIDADO</x:v>
      </x:c>
      <x:c r="E477" t="str">
        <x:v>BRL</x:v>
      </x:c>
      <x:c r="F477" s="26" t="n">
        <x:v>2.69</x:v>
      </x:c>
      <x:c r="G477" t="str">
        <x:v>REAL</x:v>
      </x:c>
      <x:c r="H477" t="str">
        <x:v>ERP-ORBITA</x:v>
      </x:c>
    </x:row>
    <x:row r="478">
      <x:c r="A478" s="25" t="n">
        <x:v>46174</x:v>
      </x:c>
      <x:c r="B478" t="str">
        <x:v>4.04.01</x:v>
      </x:c>
      <x:c r="C478" t="str">
        <x:v>Resultado financeiro líquido</x:v>
      </x:c>
      <x:c r="D478" t="str">
        <x:v>CONSOLIDADO</x:v>
      </x:c>
      <x:c r="E478" t="str">
        <x:v>BRL</x:v>
      </x:c>
      <x:c r="F478" s="26" t="n">
        <x:v>-0.91</x:v>
      </x:c>
      <x:c r="G478" t="str">
        <x:v>REAL</x:v>
      </x:c>
      <x:c r="H478" t="str">
        <x:v>ERP-ORBITA</x:v>
      </x:c>
    </x:row>
    <x:row r="479">
      <x:c r="A479" s="25" t="n">
        <x:v>46174</x:v>
      </x:c>
      <x:c r="B479" t="str">
        <x:v>3.05.01</x:v>
      </x:c>
      <x:c r="C479" t="str">
        <x:v>Lucro antes de IR/CS</x:v>
      </x:c>
      <x:c r="D479" t="str">
        <x:v>CONSOLIDADO</x:v>
      </x:c>
      <x:c r="E479" t="str">
        <x:v>BRL</x:v>
      </x:c>
      <x:c r="F479" s="26" t="n">
        <x:v>1.78</x:v>
      </x:c>
      <x:c r="G479" t="str">
        <x:v>REAL</x:v>
      </x:c>
      <x:c r="H479" t="str">
        <x:v>ERP-ORBITA</x:v>
      </x:c>
    </x:row>
    <x:row r="480">
      <x:c r="A480" s="25" t="n">
        <x:v>46174</x:v>
      </x:c>
      <x:c r="B480" t="str">
        <x:v>4.05.01</x:v>
      </x:c>
      <x:c r="C480" t="str">
        <x:v>IRPJ e CSLL</x:v>
      </x:c>
      <x:c r="D480" t="str">
        <x:v>CONSOLIDADO</x:v>
      </x:c>
      <x:c r="E480" t="str">
        <x:v>BRL</x:v>
      </x:c>
      <x:c r="F480" s="26" t="n">
        <x:v>-0.605</x:v>
      </x:c>
      <x:c r="G480" t="str">
        <x:v>REAL</x:v>
      </x:c>
      <x:c r="H480" t="str">
        <x:v>ERP-ORBITA</x:v>
      </x:c>
    </x:row>
    <x:row r="481">
      <x:c r="A481" s="25" t="n">
        <x:v>46174</x:v>
      </x:c>
      <x:c r="B481" t="str">
        <x:v>3.06.01</x:v>
      </x:c>
      <x:c r="C481" t="str">
        <x:v>Lucro líquido</x:v>
      </x:c>
      <x:c r="D481" t="str">
        <x:v>CONSOLIDADO</x:v>
      </x:c>
      <x:c r="E481" t="str">
        <x:v>BRL</x:v>
      </x:c>
      <x:c r="F481" s="26" t="n">
        <x:v>1.175</x:v>
      </x:c>
      <x:c r="G481" t="str">
        <x:v>REAL</x:v>
      </x:c>
      <x:c r="H481" t="str">
        <x:v>ERP-ORBITA</x:v>
      </x:c>
    </x:row>
    <x:row r="482">
      <x:c r="A482" s="25" t="n">
        <x:v>46204</x:v>
      </x:c>
      <x:c r="B482" t="str">
        <x:v>3.01.01</x:v>
      </x:c>
      <x:c r="C482" t="str">
        <x:v>Receita bruta de vendas</x:v>
      </x:c>
      <x:c r="D482" t="str">
        <x:v>CONSOLIDADO</x:v>
      </x:c>
      <x:c r="E482" t="str">
        <x:v>BRL</x:v>
      </x:c>
      <x:c r="F482" s="26" t="n">
        <x:v>19.896</x:v>
      </x:c>
      <x:c r="G482" t="str">
        <x:v>REAL</x:v>
      </x:c>
      <x:c r="H482" t="str">
        <x:v>ERP-ORBITA</x:v>
      </x:c>
    </x:row>
    <x:row r="483">
      <x:c r="A483" s="25" t="n">
        <x:v>46204</x:v>
      </x:c>
      <x:c r="B483" t="str">
        <x:v>3.01.02</x:v>
      </x:c>
      <x:c r="C483" t="str">
        <x:v>Deduções e impostos sobre vendas</x:v>
      </x:c>
      <x:c r="D483" t="str">
        <x:v>CONSOLIDADO</x:v>
      </x:c>
      <x:c r="E483" t="str">
        <x:v>BRL</x:v>
      </x:c>
      <x:c r="F483" s="26" t="n">
        <x:v>-0.796</x:v>
      </x:c>
      <x:c r="G483" t="str">
        <x:v>REAL</x:v>
      </x:c>
      <x:c r="H483" t="str">
        <x:v>ERP-ORBITA</x:v>
      </x:c>
    </x:row>
    <x:row r="484">
      <x:c r="A484" s="25" t="n">
        <x:v>46204</x:v>
      </x:c>
      <x:c r="B484" t="str">
        <x:v>3.01.03</x:v>
      </x:c>
      <x:c r="C484" t="str">
        <x:v>Receita líquida</x:v>
      </x:c>
      <x:c r="D484" t="str">
        <x:v>CONSOLIDADO</x:v>
      </x:c>
      <x:c r="E484" t="str">
        <x:v>BRL</x:v>
      </x:c>
      <x:c r="F484" s="26" t="n">
        <x:v>19.1</x:v>
      </x:c>
      <x:c r="G484" t="str">
        <x:v>REAL</x:v>
      </x:c>
      <x:c r="H484" t="str">
        <x:v>ERP-ORBITA</x:v>
      </x:c>
    </x:row>
    <x:row r="485">
      <x:c r="A485" s="25" t="n">
        <x:v>46204</x:v>
      </x:c>
      <x:c r="B485" t="str">
        <x:v>4.01.01</x:v>
      </x:c>
      <x:c r="C485" t="str">
        <x:v>Custo das mercadorias vendidas</x:v>
      </x:c>
      <x:c r="D485" t="str">
        <x:v>CONSOLIDADO</x:v>
      </x:c>
      <x:c r="E485" t="str">
        <x:v>BRL</x:v>
      </x:c>
      <x:c r="F485" s="26" t="n">
        <x:v>-12.835</x:v>
      </x:c>
      <x:c r="G485" t="str">
        <x:v>REAL</x:v>
      </x:c>
      <x:c r="H485" t="str">
        <x:v>ERP-ORBITA</x:v>
      </x:c>
    </x:row>
    <x:row r="486">
      <x:c r="A486" s="25" t="n">
        <x:v>46204</x:v>
      </x:c>
      <x:c r="B486" t="str">
        <x:v>3.02.01</x:v>
      </x:c>
      <x:c r="C486" t="str">
        <x:v>Lucro bruto</x:v>
      </x:c>
      <x:c r="D486" t="str">
        <x:v>CONSOLIDADO</x:v>
      </x:c>
      <x:c r="E486" t="str">
        <x:v>BRL</x:v>
      </x:c>
      <x:c r="F486" s="26" t="n">
        <x:v>6.265</x:v>
      </x:c>
      <x:c r="G486" t="str">
        <x:v>REAL</x:v>
      </x:c>
      <x:c r="H486" t="str">
        <x:v>ERP-ORBITA</x:v>
      </x:c>
    </x:row>
    <x:row r="487">
      <x:c r="A487" s="25" t="n">
        <x:v>46204</x:v>
      </x:c>
      <x:c r="B487" t="str">
        <x:v>4.02.01</x:v>
      </x:c>
      <x:c r="C487" t="str">
        <x:v>Pessoal</x:v>
      </x:c>
      <x:c r="D487" t="str">
        <x:v>CONSOLIDADO</x:v>
      </x:c>
      <x:c r="E487" t="str">
        <x:v>BRL</x:v>
      </x:c>
      <x:c r="F487" s="26" t="n">
        <x:v>-0.853</x:v>
      </x:c>
      <x:c r="G487" t="str">
        <x:v>REAL</x:v>
      </x:c>
      <x:c r="H487" t="str">
        <x:v>ERP-ORBITA</x:v>
      </x:c>
    </x:row>
    <x:row r="488">
      <x:c r="A488" s="25" t="n">
        <x:v>46204</x:v>
      </x:c>
      <x:c r="B488" t="str">
        <x:v>4.02.02</x:v>
      </x:c>
      <x:c r="C488" t="str">
        <x:v>Ocupação e utilidades</x:v>
      </x:c>
      <x:c r="D488" t="str">
        <x:v>CONSOLIDADO</x:v>
      </x:c>
      <x:c r="E488" t="str">
        <x:v>BRL</x:v>
      </x:c>
      <x:c r="F488" s="26" t="n">
        <x:v>-0.48</x:v>
      </x:c>
      <x:c r="G488" t="str">
        <x:v>REAL</x:v>
      </x:c>
      <x:c r="H488" t="str">
        <x:v>ERP-ORBITA</x:v>
      </x:c>
    </x:row>
    <x:row r="489">
      <x:c r="A489" s="25" t="n">
        <x:v>46204</x:v>
      </x:c>
      <x:c r="B489" t="str">
        <x:v>4.02.03</x:v>
      </x:c>
      <x:c r="C489" t="str">
        <x:v>Logística e tecnologia</x:v>
      </x:c>
      <x:c r="D489" t="str">
        <x:v>CONSOLIDADO</x:v>
      </x:c>
      <x:c r="E489" t="str">
        <x:v>BRL</x:v>
      </x:c>
      <x:c r="F489" s="26" t="n">
        <x:v>-0.48</x:v>
      </x:c>
      <x:c r="G489" t="str">
        <x:v>REAL</x:v>
      </x:c>
      <x:c r="H489" t="str">
        <x:v>ERP-ORBITA</x:v>
      </x:c>
    </x:row>
    <x:row r="490">
      <x:c r="A490" s="25" t="n">
        <x:v>46204</x:v>
      </x:c>
      <x:c r="B490" t="str">
        <x:v>4.02.04</x:v>
      </x:c>
      <x:c r="C490" t="str">
        <x:v>Despesas comerciais e administrativas</x:v>
      </x:c>
      <x:c r="D490" t="str">
        <x:v>CONSOLIDADO</x:v>
      </x:c>
      <x:c r="E490" t="str">
        <x:v>BRL</x:v>
      </x:c>
      <x:c r="F490" s="26" t="n">
        <x:v>-0.853</x:v>
      </x:c>
      <x:c r="G490" t="str">
        <x:v>REAL</x:v>
      </x:c>
      <x:c r="H490" t="str">
        <x:v>ERP-ORBITA</x:v>
      </x:c>
    </x:row>
    <x:row r="491">
      <x:c r="A491" s="25" t="n">
        <x:v>46204</x:v>
      </x:c>
      <x:c r="B491" t="str">
        <x:v>3.03.01</x:v>
      </x:c>
      <x:c r="C491" t="str">
        <x:v>EBITDA</x:v>
      </x:c>
      <x:c r="D491" t="str">
        <x:v>CONSOLIDADO</x:v>
      </x:c>
      <x:c r="E491" t="str">
        <x:v>BRL</x:v>
      </x:c>
      <x:c r="F491" s="26" t="n">
        <x:v>3.6</x:v>
      </x:c>
      <x:c r="G491" t="str">
        <x:v>REAL</x:v>
      </x:c>
      <x:c r="H491" t="str">
        <x:v>ERP-ORBITA</x:v>
      </x:c>
    </x:row>
    <x:row r="492">
      <x:c r="A492" s="25" t="n">
        <x:v>46204</x:v>
      </x:c>
      <x:c r="B492" t="str">
        <x:v>4.03.01</x:v>
      </x:c>
      <x:c r="C492" t="str">
        <x:v>Depreciação e amortização</x:v>
      </x:c>
      <x:c r="D492" t="str">
        <x:v>CONSOLIDADO</x:v>
      </x:c>
      <x:c r="E492" t="str">
        <x:v>BRL</x:v>
      </x:c>
      <x:c r="F492" s="26" t="n">
        <x:v>-0.535</x:v>
      </x:c>
      <x:c r="G492" t="str">
        <x:v>REAL</x:v>
      </x:c>
      <x:c r="H492" t="str">
        <x:v>ERP-ORBITA</x:v>
      </x:c>
    </x:row>
    <x:row r="493">
      <x:c r="A493" s="25" t="n">
        <x:v>46204</x:v>
      </x:c>
      <x:c r="B493" t="str">
        <x:v>3.04.01</x:v>
      </x:c>
      <x:c r="C493" t="str">
        <x:v>EBIT</x:v>
      </x:c>
      <x:c r="D493" t="str">
        <x:v>CONSOLIDADO</x:v>
      </x:c>
      <x:c r="E493" t="str">
        <x:v>BRL</x:v>
      </x:c>
      <x:c r="F493" s="26" t="n">
        <x:v>3.065</x:v>
      </x:c>
      <x:c r="G493" t="str">
        <x:v>REAL</x:v>
      </x:c>
      <x:c r="H493" t="str">
        <x:v>ERP-ORBITA</x:v>
      </x:c>
    </x:row>
    <x:row r="494">
      <x:c r="A494" s="25" t="n">
        <x:v>46204</x:v>
      </x:c>
      <x:c r="B494" t="str">
        <x:v>4.04.01</x:v>
      </x:c>
      <x:c r="C494" t="str">
        <x:v>Resultado financeiro líquido</x:v>
      </x:c>
      <x:c r="D494" t="str">
        <x:v>CONSOLIDADO</x:v>
      </x:c>
      <x:c r="E494" t="str">
        <x:v>BRL</x:v>
      </x:c>
      <x:c r="F494" s="26" t="n">
        <x:v>-0.955</x:v>
      </x:c>
      <x:c r="G494" t="str">
        <x:v>REAL</x:v>
      </x:c>
      <x:c r="H494" t="str">
        <x:v>ERP-ORBITA</x:v>
      </x:c>
    </x:row>
    <x:row r="495">
      <x:c r="A495" s="25" t="n">
        <x:v>46204</x:v>
      </x:c>
      <x:c r="B495" t="str">
        <x:v>3.05.01</x:v>
      </x:c>
      <x:c r="C495" t="str">
        <x:v>Lucro antes de IR/CS</x:v>
      </x:c>
      <x:c r="D495" t="str">
        <x:v>CONSOLIDADO</x:v>
      </x:c>
      <x:c r="E495" t="str">
        <x:v>BRL</x:v>
      </x:c>
      <x:c r="F495" s="26" t="n">
        <x:v>2.11</x:v>
      </x:c>
      <x:c r="G495" t="str">
        <x:v>REAL</x:v>
      </x:c>
      <x:c r="H495" t="str">
        <x:v>ERP-ORBITA</x:v>
      </x:c>
    </x:row>
    <x:row r="496">
      <x:c r="A496" s="25" t="n">
        <x:v>46204</x:v>
      </x:c>
      <x:c r="B496" t="str">
        <x:v>4.05.01</x:v>
      </x:c>
      <x:c r="C496" t="str">
        <x:v>IRPJ e CSLL</x:v>
      </x:c>
      <x:c r="D496" t="str">
        <x:v>CONSOLIDADO</x:v>
      </x:c>
      <x:c r="E496" t="str">
        <x:v>BRL</x:v>
      </x:c>
      <x:c r="F496" s="26" t="n">
        <x:v>-0.717</x:v>
      </x:c>
      <x:c r="G496" t="str">
        <x:v>REAL</x:v>
      </x:c>
      <x:c r="H496" t="str">
        <x:v>ERP-ORBITA</x:v>
      </x:c>
    </x:row>
    <x:row r="497">
      <x:c r="A497" s="25" t="n">
        <x:v>46204</x:v>
      </x:c>
      <x:c r="B497" t="str">
        <x:v>3.06.01</x:v>
      </x:c>
      <x:c r="C497" t="str">
        <x:v>Lucro líquido</x:v>
      </x:c>
      <x:c r="D497" t="str">
        <x:v>CONSOLIDADO</x:v>
      </x:c>
      <x:c r="E497" t="str">
        <x:v>BRL</x:v>
      </x:c>
      <x:c r="F497" s="26" t="n">
        <x:v>1.393</x:v>
      </x:c>
      <x:c r="G497" t="str">
        <x:v>REAL</x:v>
      </x:c>
      <x:c r="H497" t="str">
        <x:v>ERP-ORBITA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13" hidden="0" customWidth="1"/>
    <x:col min="3" max="3" width="3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</x:cols>
  <x:sheetData>
    <x:row r="1">
      <x:c r="A1" s="24" t="str">
        <x:v>COMPETENCIA</x:v>
      </x:c>
      <x:c r="B1" s="24" t="str">
        <x:v>CONTA</x:v>
      </x:c>
      <x:c r="C1" s="24" t="str">
        <x:v>DESCRICAO</x:v>
      </x:c>
      <x:c r="D1" s="24" t="str">
        <x:v>FILIAL</x:v>
      </x:c>
      <x:c r="E1" s="24" t="str">
        <x:v>SALDO_DEVEDOR_MM</x:v>
      </x:c>
      <x:c r="F1" s="24" t="str">
        <x:v>SALDO_CREDOR_MM</x:v>
      </x:c>
      <x:c r="G1" s="24" t="str">
        <x:v>SALDO_LIQUIDO_MM</x:v>
      </x:c>
      <x:c r="H1" s="24" t="str">
        <x:v>LOTE</x:v>
      </x:c>
    </x:row>
    <x:row r="2">
      <x:c r="A2" s="25" t="n">
        <x:v>45658</x:v>
      </x:c>
      <x:c r="B2" t="str">
        <x:v>1.01.01</x:v>
      </x:c>
      <x:c r="C2" t="str">
        <x:v>Caixa e equivalentes</x:v>
      </x:c>
      <x:c r="D2" t="str">
        <x:v>MATRIZ</x:v>
      </x:c>
      <x:c r="E2" s="26" t="n">
        <x:v>8.05</x:v>
      </x:c>
      <x:c r="F2" s="26" t="n">
        <x:v>0</x:v>
      </x:c>
      <x:c r="G2" s="26" t="n">
        <x:v>8.05</x:v>
      </x:c>
      <x:c r="H2" t="str">
        <x:v>FECHAMENTO</x:v>
      </x:c>
    </x:row>
    <x:row r="3">
      <x:c r="A3" s="25" t="n">
        <x:v>45658</x:v>
      </x:c>
      <x:c r="B3" t="str">
        <x:v>1.01.02</x:v>
      </x:c>
      <x:c r="C3" t="str">
        <x:v>Contas a receber</x:v>
      </x:c>
      <x:c r="D3" t="str">
        <x:v>MATRIZ</x:v>
      </x:c>
      <x:c r="E3" s="26" t="n">
        <x:v>16.075</x:v>
      </x:c>
      <x:c r="F3" s="26" t="n">
        <x:v>0</x:v>
      </x:c>
      <x:c r="G3" s="26" t="n">
        <x:v>16.075</x:v>
      </x:c>
      <x:c r="H3" t="str">
        <x:v>FECHAMENTO</x:v>
      </x:c>
    </x:row>
    <x:row r="4">
      <x:c r="A4" s="25" t="n">
        <x:v>45658</x:v>
      </x:c>
      <x:c r="B4" t="str">
        <x:v>1.01.03</x:v>
      </x:c>
      <x:c r="C4" t="str">
        <x:v>Estoques</x:v>
      </x:c>
      <x:c r="D4" t="str">
        <x:v>MATRIZ</x:v>
      </x:c>
      <x:c r="E4" s="26" t="n">
        <x:v>25.758333333333333</x:v>
      </x:c>
      <x:c r="F4" s="26" t="n">
        <x:v>0</x:v>
      </x:c>
      <x:c r="G4" s="26" t="n">
        <x:v>25.758333333333333</x:v>
      </x:c>
      <x:c r="H4" t="str">
        <x:v>FECHAMENTO</x:v>
      </x:c>
    </x:row>
    <x:row r="5">
      <x:c r="A5" s="25" t="n">
        <x:v>45658</x:v>
      </x:c>
      <x:c r="B5" t="str">
        <x:v>1.01.04</x:v>
      </x:c>
      <x:c r="C5" t="str">
        <x:v>Tributos a recuperar</x:v>
      </x:c>
      <x:c r="D5" t="str">
        <x:v>MATRIZ</x:v>
      </x:c>
      <x:c r="E5" s="26" t="n">
        <x:v>3.0166666666666666</x:v>
      </x:c>
      <x:c r="F5" s="26" t="n">
        <x:v>0</x:v>
      </x:c>
      <x:c r="G5" s="26" t="n">
        <x:v>3.0166666666666666</x:v>
      </x:c>
      <x:c r="H5" t="str">
        <x:v>FECHAMENTO</x:v>
      </x:c>
    </x:row>
    <x:row r="6">
      <x:c r="A6" s="25" t="n">
        <x:v>45658</x:v>
      </x:c>
      <x:c r="B6" t="str">
        <x:v>1.01.05</x:v>
      </x:c>
      <x:c r="C6" t="str">
        <x:v>Outros ativos circulantes</x:v>
      </x:c>
      <x:c r="D6" t="str">
        <x:v>MATRIZ</x:v>
      </x:c>
      <x:c r="E6" s="26" t="n">
        <x:v>3.716666666666667</x:v>
      </x:c>
      <x:c r="F6" s="26" t="n">
        <x:v>0</x:v>
      </x:c>
      <x:c r="G6" s="26" t="n">
        <x:v>3.716666666666667</x:v>
      </x:c>
      <x:c r="H6" t="str">
        <x:v>FECHAMENTO</x:v>
      </x:c>
    </x:row>
    <x:row r="7">
      <x:c r="A7" s="25" t="n">
        <x:v>45658</x:v>
      </x:c>
      <x:c r="B7" t="str">
        <x:v>1.02.01</x:v>
      </x:c>
      <x:c r="C7" t="str">
        <x:v>Imobilizado - custo</x:v>
      </x:c>
      <x:c r="D7" t="str">
        <x:v>MATRIZ</x:v>
      </x:c>
      <x:c r="E7" s="26" t="n">
        <x:v>74.01666666666667</x:v>
      </x:c>
      <x:c r="F7" s="26" t="n">
        <x:v>0</x:v>
      </x:c>
      <x:c r="G7" s="26" t="n">
        <x:v>74.01666666666667</x:v>
      </x:c>
      <x:c r="H7" t="str">
        <x:v>FECHAMENTO</x:v>
      </x:c>
    </x:row>
    <x:row r="8">
      <x:c r="A8" s="25" t="n">
        <x:v>45658</x:v>
      </x:c>
      <x:c r="B8" t="str">
        <x:v>1.02.02</x:v>
      </x:c>
      <x:c r="C8" t="str">
        <x:v>Depreciação acumulada</x:v>
      </x:c>
      <x:c r="D8" t="str">
        <x:v>MATRIZ</x:v>
      </x:c>
      <x:c r="E8" s="26" t="n">
        <x:v>0</x:v>
      </x:c>
      <x:c r="F8" s="26" t="n">
        <x:v>16.60833333333333</x:v>
      </x:c>
      <x:c r="G8" s="26" t="n">
        <x:v>-16.60833333333333</x:v>
      </x:c>
      <x:c r="H8" t="str">
        <x:v>FECHAMENTO</x:v>
      </x:c>
    </x:row>
    <x:row r="9">
      <x:c r="A9" s="25" t="n">
        <x:v>45658</x:v>
      </x:c>
      <x:c r="B9" t="str">
        <x:v>1.02.03</x:v>
      </x:c>
      <x:c r="C9" t="str">
        <x:v>Outros ativos não circulantes</x:v>
      </x:c>
      <x:c r="D9" t="str">
        <x:v>MATRIZ</x:v>
      </x:c>
      <x:c r="E9" s="26" t="n">
        <x:v>2.5166666666666666</x:v>
      </x:c>
      <x:c r="F9" s="26" t="n">
        <x:v>0</x:v>
      </x:c>
      <x:c r="G9" s="26" t="n">
        <x:v>2.5166666666666666</x:v>
      </x:c>
      <x:c r="H9" t="str">
        <x:v>FECHAMENTO</x:v>
      </x:c>
    </x:row>
    <x:row r="10">
      <x:c r="A10" s="25" t="n">
        <x:v>45658</x:v>
      </x:c>
      <x:c r="B10" t="str">
        <x:v>2.01.01</x:v>
      </x:c>
      <x:c r="C10" t="str">
        <x:v>Fornecedores</x:v>
      </x:c>
      <x:c r="D10" t="str">
        <x:v>MATRIZ</x:v>
      </x:c>
      <x:c r="E10" s="26" t="n">
        <x:v>0</x:v>
      </x:c>
      <x:c r="F10" s="26" t="n">
        <x:v>19.383333333333333</x:v>
      </x:c>
      <x:c r="G10" s="26" t="n">
        <x:v>-19.383333333333333</x:v>
      </x:c>
      <x:c r="H10" t="str">
        <x:v>FECHAMENTO</x:v>
      </x:c>
    </x:row>
    <x:row r="11">
      <x:c r="A11" s="25" t="n">
        <x:v>45658</x:v>
      </x:c>
      <x:c r="B11" t="str">
        <x:v>2.01.02</x:v>
      </x:c>
      <x:c r="C11" t="str">
        <x:v>Obrigações trabalhistas e fiscais</x:v>
      </x:c>
      <x:c r="D11" t="str">
        <x:v>MATRIZ</x:v>
      </x:c>
      <x:c r="E11" s="26" t="n">
        <x:v>0</x:v>
      </x:c>
      <x:c r="F11" s="26" t="n">
        <x:v>6.85</x:v>
      </x:c>
      <x:c r="G11" s="26" t="n">
        <x:v>-6.85</x:v>
      </x:c>
      <x:c r="H11" t="str">
        <x:v>FECHAMENTO</x:v>
      </x:c>
    </x:row>
    <x:row r="12">
      <x:c r="A12" s="25" t="n">
        <x:v>45658</x:v>
      </x:c>
      <x:c r="B12" t="str">
        <x:v>2.01.03</x:v>
      </x:c>
      <x:c r="C12" t="str">
        <x:v>Outros passivos</x:v>
      </x:c>
      <x:c r="D12" t="str">
        <x:v>MATRIZ</x:v>
      </x:c>
      <x:c r="E12" s="26" t="n">
        <x:v>0</x:v>
      </x:c>
      <x:c r="F12" s="26" t="n">
        <x:v>2.225</x:v>
      </x:c>
      <x:c r="G12" s="26" t="n">
        <x:v>-2.225</x:v>
      </x:c>
      <x:c r="H12" t="str">
        <x:v>FECHAMENTO</x:v>
      </x:c>
    </x:row>
    <x:row r="13">
      <x:c r="A13" s="25" t="n">
        <x:v>45658</x:v>
      </x:c>
      <x:c r="B13" t="str">
        <x:v>2.01.04</x:v>
      </x:c>
      <x:c r="C13" t="str">
        <x:v>Empréstimos e financiamentos - CP</x:v>
      </x:c>
      <x:c r="D13" t="str">
        <x:v>MATRIZ</x:v>
      </x:c>
      <x:c r="E13" s="26" t="n">
        <x:v>0</x:v>
      </x:c>
      <x:c r="F13" s="26" t="n">
        <x:v>19.166666666666668</x:v>
      </x:c>
      <x:c r="G13" s="26" t="n">
        <x:v>-19.166666666666668</x:v>
      </x:c>
      <x:c r="H13" t="str">
        <x:v>FECHAMENTO</x:v>
      </x:c>
    </x:row>
    <x:row r="14">
      <x:c r="A14" s="25" t="n">
        <x:v>45658</x:v>
      </x:c>
      <x:c r="B14" t="str">
        <x:v>2.02.01</x:v>
      </x:c>
      <x:c r="C14" t="str">
        <x:v>Empréstimos e financiamentos - LP</x:v>
      </x:c>
      <x:c r="D14" t="str">
        <x:v>MATRIZ</x:v>
      </x:c>
      <x:c r="E14" s="26" t="n">
        <x:v>0</x:v>
      </x:c>
      <x:c r="F14" s="26" t="n">
        <x:v>41.25</x:v>
      </x:c>
      <x:c r="G14" s="26" t="n">
        <x:v>-41.25</x:v>
      </x:c>
      <x:c r="H14" t="str">
        <x:v>FECHAMENTO</x:v>
      </x:c>
    </x:row>
    <x:row r="15">
      <x:c r="A15" s="25" t="n">
        <x:v>45658</x:v>
      </x:c>
      <x:c r="B15" t="str">
        <x:v>2.03.01</x:v>
      </x:c>
      <x:c r="C15" t="str">
        <x:v>Capital e reservas / lucros acumulados</x:v>
      </x:c>
      <x:c r="D15" t="str">
        <x:v>MATRIZ</x:v>
      </x:c>
      <x:c r="E15" s="26" t="n">
        <x:v>0</x:v>
      </x:c>
      <x:c r="F15" s="26" t="n">
        <x:v>26.929666666666662</x:v>
      </x:c>
      <x:c r="G15" s="26" t="n">
        <x:v>-26.929666666666662</x:v>
      </x:c>
      <x:c r="H15" t="str">
        <x:v>FECHAMENTO</x:v>
      </x:c>
    </x:row>
    <x:row r="16">
      <x:c r="A16" s="25" t="n">
        <x:v>45658</x:v>
      </x:c>
      <x:c r="B16" t="str">
        <x:v>3.01.03</x:v>
      </x:c>
      <x:c r="C16" t="str">
        <x:v>Receita líquida acumulada</x:v>
      </x:c>
      <x:c r="D16" t="str">
        <x:v>MATRIZ</x:v>
      </x:c>
      <x:c r="E16" s="26" t="n">
        <x:v>0</x:v>
      </x:c>
      <x:c r="F16" s="26" t="n">
        <x:v>13.95</x:v>
      </x:c>
      <x:c r="G16" s="26" t="n">
        <x:v>-13.95</x:v>
      </x:c>
      <x:c r="H16" t="str">
        <x:v>FECHAMENTO</x:v>
      </x:c>
    </x:row>
    <x:row r="17">
      <x:c r="A17" s="25" t="n">
        <x:v>45658</x:v>
      </x:c>
      <x:c r="B17" t="str">
        <x:v>4.99.01</x:v>
      </x:c>
      <x:c r="C17" t="str">
        <x:v>Custos e despesas acumulados</x:v>
      </x:c>
      <x:c r="D17" t="str">
        <x:v>MATRIZ</x:v>
      </x:c>
      <x:c r="E17" s="26" t="n">
        <x:v>13.213</x:v>
      </x:c>
      <x:c r="F17" s="26" t="n">
        <x:v>0</x:v>
      </x:c>
      <x:c r="G17" s="26" t="n">
        <x:v>13.213</x:v>
      </x:c>
      <x:c r="H17" t="str">
        <x:v>FECHAMENTO</x:v>
      </x:c>
    </x:row>
    <x:row r="18">
      <x:c r="A18" s="25" t="n">
        <x:v>45689</x:v>
      </x:c>
      <x:c r="B18" t="str">
        <x:v>1.01.01</x:v>
      </x:c>
      <x:c r="C18" t="str">
        <x:v>Caixa e equivalentes</x:v>
      </x:c>
      <x:c r="D18" t="str">
        <x:v>MATRIZ</x:v>
      </x:c>
      <x:c r="E18" s="26" t="n">
        <x:v>8.1</x:v>
      </x:c>
      <x:c r="F18" s="26" t="n">
        <x:v>0</x:v>
      </x:c>
      <x:c r="G18" s="26" t="n">
        <x:v>8.1</x:v>
      </x:c>
      <x:c r="H18" t="str">
        <x:v>FECHAMENTO</x:v>
      </x:c>
    </x:row>
    <x:row r="19">
      <x:c r="A19" s="25" t="n">
        <x:v>45689</x:v>
      </x:c>
      <x:c r="B19" t="str">
        <x:v>1.01.02</x:v>
      </x:c>
      <x:c r="C19" t="str">
        <x:v>Contas a receber</x:v>
      </x:c>
      <x:c r="D19" t="str">
        <x:v>MATRIZ</x:v>
      </x:c>
      <x:c r="E19" s="26" t="n">
        <x:v>16.25</x:v>
      </x:c>
      <x:c r="F19" s="26" t="n">
        <x:v>0</x:v>
      </x:c>
      <x:c r="G19" s="26" t="n">
        <x:v>16.25</x:v>
      </x:c>
      <x:c r="H19" t="str">
        <x:v>FECHAMENTO</x:v>
      </x:c>
    </x:row>
    <x:row r="20">
      <x:c r="A20" s="25" t="n">
        <x:v>45689</x:v>
      </x:c>
      <x:c r="B20" t="str">
        <x:v>1.01.03</x:v>
      </x:c>
      <x:c r="C20" t="str">
        <x:v>Estoques</x:v>
      </x:c>
      <x:c r="D20" t="str">
        <x:v>MATRIZ</x:v>
      </x:c>
      <x:c r="E20" s="26" t="n">
        <x:v>26.116666666666667</x:v>
      </x:c>
      <x:c r="F20" s="26" t="n">
        <x:v>0</x:v>
      </x:c>
      <x:c r="G20" s="26" t="n">
        <x:v>26.116666666666667</x:v>
      </x:c>
      <x:c r="H20" t="str">
        <x:v>FECHAMENTO</x:v>
      </x:c>
    </x:row>
    <x:row r="21">
      <x:c r="A21" s="25" t="n">
        <x:v>45689</x:v>
      </x:c>
      <x:c r="B21" t="str">
        <x:v>1.01.04</x:v>
      </x:c>
      <x:c r="C21" t="str">
        <x:v>Tributos a recuperar</x:v>
      </x:c>
      <x:c r="D21" t="str">
        <x:v>MATRIZ</x:v>
      </x:c>
      <x:c r="E21" s="26" t="n">
        <x:v>3.033333333333333</x:v>
      </x:c>
      <x:c r="F21" s="26" t="n">
        <x:v>0</x:v>
      </x:c>
      <x:c r="G21" s="26" t="n">
        <x:v>3.033333333333333</x:v>
      </x:c>
      <x:c r="H21" t="str">
        <x:v>FECHAMENTO</x:v>
      </x:c>
    </x:row>
    <x:row r="22">
      <x:c r="A22" s="25" t="n">
        <x:v>45689</x:v>
      </x:c>
      <x:c r="B22" t="str">
        <x:v>1.01.05</x:v>
      </x:c>
      <x:c r="C22" t="str">
        <x:v>Outros ativos circulantes</x:v>
      </x:c>
      <x:c r="D22" t="str">
        <x:v>MATRIZ</x:v>
      </x:c>
      <x:c r="E22" s="26" t="n">
        <x:v>3.7333333333333334</x:v>
      </x:c>
      <x:c r="F22" s="26" t="n">
        <x:v>0</x:v>
      </x:c>
      <x:c r="G22" s="26" t="n">
        <x:v>3.7333333333333334</x:v>
      </x:c>
      <x:c r="H22" t="str">
        <x:v>FECHAMENTO</x:v>
      </x:c>
    </x:row>
    <x:row r="23">
      <x:c r="A23" s="25" t="n">
        <x:v>45689</x:v>
      </x:c>
      <x:c r="B23" t="str">
        <x:v>1.02.01</x:v>
      </x:c>
      <x:c r="C23" t="str">
        <x:v>Imobilizado - custo</x:v>
      </x:c>
      <x:c r="D23" t="str">
        <x:v>MATRIZ</x:v>
      </x:c>
      <x:c r="E23" s="26" t="n">
        <x:v>74.83333333333334</x:v>
      </x:c>
      <x:c r="F23" s="26" t="n">
        <x:v>0</x:v>
      </x:c>
      <x:c r="G23" s="26" t="n">
        <x:v>74.83333333333334</x:v>
      </x:c>
      <x:c r="H23" t="str">
        <x:v>FECHAMENTO</x:v>
      </x:c>
    </x:row>
    <x:row r="24">
      <x:c r="A24" s="25" t="n">
        <x:v>45689</x:v>
      </x:c>
      <x:c r="B24" t="str">
        <x:v>1.02.02</x:v>
      </x:c>
      <x:c r="C24" t="str">
        <x:v>Depreciação acumulada</x:v>
      </x:c>
      <x:c r="D24" t="str">
        <x:v>MATRIZ</x:v>
      </x:c>
      <x:c r="E24" s="26" t="n">
        <x:v>0</x:v>
      </x:c>
      <x:c r="F24" s="26" t="n">
        <x:v>16.816666666666666</x:v>
      </x:c>
      <x:c r="G24" s="26" t="n">
        <x:v>-16.816666666666666</x:v>
      </x:c>
      <x:c r="H24" t="str">
        <x:v>FECHAMENTO</x:v>
      </x:c>
    </x:row>
    <x:row r="25">
      <x:c r="A25" s="25" t="n">
        <x:v>45689</x:v>
      </x:c>
      <x:c r="B25" t="str">
        <x:v>1.02.03</x:v>
      </x:c>
      <x:c r="C25" t="str">
        <x:v>Outros ativos não circulantes</x:v>
      </x:c>
      <x:c r="D25" t="str">
        <x:v>MATRIZ</x:v>
      </x:c>
      <x:c r="E25" s="26" t="n">
        <x:v>2.533333333333333</x:v>
      </x:c>
      <x:c r="F25" s="26" t="n">
        <x:v>0</x:v>
      </x:c>
      <x:c r="G25" s="26" t="n">
        <x:v>2.533333333333333</x:v>
      </x:c>
      <x:c r="H25" t="str">
        <x:v>FECHAMENTO</x:v>
      </x:c>
    </x:row>
    <x:row r="26">
      <x:c r="A26" s="25" t="n">
        <x:v>45689</x:v>
      </x:c>
      <x:c r="B26" t="str">
        <x:v>2.01.01</x:v>
      </x:c>
      <x:c r="C26" t="str">
        <x:v>Fornecedores</x:v>
      </x:c>
      <x:c r="D26" t="str">
        <x:v>MATRIZ</x:v>
      </x:c>
      <x:c r="E26" s="26" t="n">
        <x:v>0</x:v>
      </x:c>
      <x:c r="F26" s="26" t="n">
        <x:v>19.666666666666668</x:v>
      </x:c>
      <x:c r="G26" s="26" t="n">
        <x:v>-19.666666666666668</x:v>
      </x:c>
      <x:c r="H26" t="str">
        <x:v>FECHAMENTO</x:v>
      </x:c>
    </x:row>
    <x:row r="27">
      <x:c r="A27" s="25" t="n">
        <x:v>45689</x:v>
      </x:c>
      <x:c r="B27" t="str">
        <x:v>2.01.02</x:v>
      </x:c>
      <x:c r="C27" t="str">
        <x:v>Obrigações trabalhistas e fiscais</x:v>
      </x:c>
      <x:c r="D27" t="str">
        <x:v>MATRIZ</x:v>
      </x:c>
      <x:c r="E27" s="26" t="n">
        <x:v>0</x:v>
      </x:c>
      <x:c r="F27" s="26" t="n">
        <x:v>6.9</x:v>
      </x:c>
      <x:c r="G27" s="26" t="n">
        <x:v>-6.9</x:v>
      </x:c>
      <x:c r="H27" t="str">
        <x:v>FECHAMENTO</x:v>
      </x:c>
    </x:row>
    <x:row r="28">
      <x:c r="A28" s="25" t="n">
        <x:v>45689</x:v>
      </x:c>
      <x:c r="B28" t="str">
        <x:v>2.01.03</x:v>
      </x:c>
      <x:c r="C28" t="str">
        <x:v>Outros passivos</x:v>
      </x:c>
      <x:c r="D28" t="str">
        <x:v>MATRIZ</x:v>
      </x:c>
      <x:c r="E28" s="26" t="n">
        <x:v>0</x:v>
      </x:c>
      <x:c r="F28" s="26" t="n">
        <x:v>2.25</x:v>
      </x:c>
      <x:c r="G28" s="26" t="n">
        <x:v>-2.25</x:v>
      </x:c>
      <x:c r="H28" t="str">
        <x:v>FECHAMENTO</x:v>
      </x:c>
    </x:row>
    <x:row r="29">
      <x:c r="A29" s="25" t="n">
        <x:v>45689</x:v>
      </x:c>
      <x:c r="B29" t="str">
        <x:v>2.01.04</x:v>
      </x:c>
      <x:c r="C29" t="str">
        <x:v>Empréstimos e financiamentos - CP</x:v>
      </x:c>
      <x:c r="D29" t="str">
        <x:v>MATRIZ</x:v>
      </x:c>
      <x:c r="E29" s="26" t="n">
        <x:v>0</x:v>
      </x:c>
      <x:c r="F29" s="26" t="n">
        <x:v>19.333333333333332</x:v>
      </x:c>
      <x:c r="G29" s="26" t="n">
        <x:v>-19.333333333333332</x:v>
      </x:c>
      <x:c r="H29" t="str">
        <x:v>FECHAMENTO</x:v>
      </x:c>
    </x:row>
    <x:row r="30">
      <x:c r="A30" s="25" t="n">
        <x:v>45689</x:v>
      </x:c>
      <x:c r="B30" t="str">
        <x:v>2.02.01</x:v>
      </x:c>
      <x:c r="C30" t="str">
        <x:v>Empréstimos e financiamentos - LP</x:v>
      </x:c>
      <x:c r="D30" t="str">
        <x:v>MATRIZ</x:v>
      </x:c>
      <x:c r="E30" s="26" t="n">
        <x:v>0</x:v>
      </x:c>
      <x:c r="F30" s="26" t="n">
        <x:v>41.5</x:v>
      </x:c>
      <x:c r="G30" s="26" t="n">
        <x:v>-41.5</x:v>
      </x:c>
      <x:c r="H30" t="str">
        <x:v>FECHAMENTO</x:v>
      </x:c>
    </x:row>
    <x:row r="31">
      <x:c r="A31" s="25" t="n">
        <x:v>45689</x:v>
      </x:c>
      <x:c r="B31" t="str">
        <x:v>2.03.01</x:v>
      </x:c>
      <x:c r="C31" t="str">
        <x:v>Capital e reservas / lucros acumulados</x:v>
      </x:c>
      <x:c r="D31" t="str">
        <x:v>MATRIZ</x:v>
      </x:c>
      <x:c r="E31" s="26" t="n">
        <x:v>0</x:v>
      </x:c>
      <x:c r="F31" s="26" t="n">
        <x:v>26.673333333333318</x:v>
      </x:c>
      <x:c r="G31" s="26" t="n">
        <x:v>-26.673333333333318</x:v>
      </x:c>
      <x:c r="H31" t="str">
        <x:v>FECHAMENTO</x:v>
      </x:c>
    </x:row>
    <x:row r="32">
      <x:c r="A32" s="25" t="n">
        <x:v>45689</x:v>
      </x:c>
      <x:c r="B32" t="str">
        <x:v>3.01.03</x:v>
      </x:c>
      <x:c r="C32" t="str">
        <x:v>Receita líquida acumulada</x:v>
      </x:c>
      <x:c r="D32" t="str">
        <x:v>MATRIZ</x:v>
      </x:c>
      <x:c r="E32" s="26" t="n">
        <x:v>0</x:v>
      </x:c>
      <x:c r="F32" s="26" t="n">
        <x:v>27.342</x:v>
      </x:c>
      <x:c r="G32" s="26" t="n">
        <x:v>-27.342</x:v>
      </x:c>
      <x:c r="H32" t="str">
        <x:v>FECHAMENTO</x:v>
      </x:c>
    </x:row>
    <x:row r="33">
      <x:c r="A33" s="25" t="n">
        <x:v>45689</x:v>
      </x:c>
      <x:c r="B33" t="str">
        <x:v>4.99.01</x:v>
      </x:c>
      <x:c r="C33" t="str">
        <x:v>Custos e despesas acumulados</x:v>
      </x:c>
      <x:c r="D33" t="str">
        <x:v>MATRIZ</x:v>
      </x:c>
      <x:c r="E33" s="26" t="n">
        <x:v>25.881999999999998</x:v>
      </x:c>
      <x:c r="F33" s="26" t="n">
        <x:v>0</x:v>
      </x:c>
      <x:c r="G33" s="26" t="n">
        <x:v>25.881999999999998</x:v>
      </x:c>
      <x:c r="H33" t="str">
        <x:v>FECHAMENTO</x:v>
      </x:c>
    </x:row>
    <x:row r="34">
      <x:c r="A34" s="25" t="n">
        <x:v>45717</x:v>
      </x:c>
      <x:c r="B34" t="str">
        <x:v>1.01.01</x:v>
      </x:c>
      <x:c r="C34" t="str">
        <x:v>Caixa e equivalentes</x:v>
      </x:c>
      <x:c r="D34" t="str">
        <x:v>MATRIZ</x:v>
      </x:c>
      <x:c r="E34" s="26" t="n">
        <x:v>8.15</x:v>
      </x:c>
      <x:c r="F34" s="26" t="n">
        <x:v>0</x:v>
      </x:c>
      <x:c r="G34" s="26" t="n">
        <x:v>8.15</x:v>
      </x:c>
      <x:c r="H34" t="str">
        <x:v>FECHAMENTO</x:v>
      </x:c>
    </x:row>
    <x:row r="35">
      <x:c r="A35" s="25" t="n">
        <x:v>45717</x:v>
      </x:c>
      <x:c r="B35" t="str">
        <x:v>1.01.02</x:v>
      </x:c>
      <x:c r="C35" t="str">
        <x:v>Contas a receber</x:v>
      </x:c>
      <x:c r="D35" t="str">
        <x:v>MATRIZ</x:v>
      </x:c>
      <x:c r="E35" s="26" t="n">
        <x:v>16.425</x:v>
      </x:c>
      <x:c r="F35" s="26" t="n">
        <x:v>0</x:v>
      </x:c>
      <x:c r="G35" s="26" t="n">
        <x:v>16.425</x:v>
      </x:c>
      <x:c r="H35" t="str">
        <x:v>FECHAMENTO</x:v>
      </x:c>
    </x:row>
    <x:row r="36">
      <x:c r="A36" s="25" t="n">
        <x:v>45717</x:v>
      </x:c>
      <x:c r="B36" t="str">
        <x:v>1.01.03</x:v>
      </x:c>
      <x:c r="C36" t="str">
        <x:v>Estoques</x:v>
      </x:c>
      <x:c r="D36" t="str">
        <x:v>MATRIZ</x:v>
      </x:c>
      <x:c r="E36" s="26" t="n">
        <x:v>26.474999999999998</x:v>
      </x:c>
      <x:c r="F36" s="26" t="n">
        <x:v>0</x:v>
      </x:c>
      <x:c r="G36" s="26" t="n">
        <x:v>26.474999999999998</x:v>
      </x:c>
      <x:c r="H36" t="str">
        <x:v>FECHAMENTO</x:v>
      </x:c>
    </x:row>
    <x:row r="37">
      <x:c r="A37" s="25" t="n">
        <x:v>45717</x:v>
      </x:c>
      <x:c r="B37" t="str">
        <x:v>1.01.04</x:v>
      </x:c>
      <x:c r="C37" t="str">
        <x:v>Tributos a recuperar</x:v>
      </x:c>
      <x:c r="D37" t="str">
        <x:v>MATRIZ</x:v>
      </x:c>
      <x:c r="E37" s="26" t="n">
        <x:v>3.05</x:v>
      </x:c>
      <x:c r="F37" s="26" t="n">
        <x:v>0</x:v>
      </x:c>
      <x:c r="G37" s="26" t="n">
        <x:v>3.05</x:v>
      </x:c>
      <x:c r="H37" t="str">
        <x:v>FECHAMENTO</x:v>
      </x:c>
    </x:row>
    <x:row r="38">
      <x:c r="A38" s="25" t="n">
        <x:v>45717</x:v>
      </x:c>
      <x:c r="B38" t="str">
        <x:v>1.01.05</x:v>
      </x:c>
      <x:c r="C38" t="str">
        <x:v>Outros ativos circulantes</x:v>
      </x:c>
      <x:c r="D38" t="str">
        <x:v>MATRIZ</x:v>
      </x:c>
      <x:c r="E38" s="26" t="n">
        <x:v>3.75</x:v>
      </x:c>
      <x:c r="F38" s="26" t="n">
        <x:v>0</x:v>
      </x:c>
      <x:c r="G38" s="26" t="n">
        <x:v>3.75</x:v>
      </x:c>
      <x:c r="H38" t="str">
        <x:v>FECHAMENTO</x:v>
      </x:c>
    </x:row>
    <x:row r="39">
      <x:c r="A39" s="25" t="n">
        <x:v>45717</x:v>
      </x:c>
      <x:c r="B39" t="str">
        <x:v>1.02.01</x:v>
      </x:c>
      <x:c r="C39" t="str">
        <x:v>Imobilizado - custo</x:v>
      </x:c>
      <x:c r="D39" t="str">
        <x:v>MATRIZ</x:v>
      </x:c>
      <x:c r="E39" s="26" t="n">
        <x:v>75.65</x:v>
      </x:c>
      <x:c r="F39" s="26" t="n">
        <x:v>0</x:v>
      </x:c>
      <x:c r="G39" s="26" t="n">
        <x:v>75.65</x:v>
      </x:c>
      <x:c r="H39" t="str">
        <x:v>FECHAMENTO</x:v>
      </x:c>
    </x:row>
    <x:row r="40">
      <x:c r="A40" s="25" t="n">
        <x:v>45717</x:v>
      </x:c>
      <x:c r="B40" t="str">
        <x:v>1.02.02</x:v>
      </x:c>
      <x:c r="C40" t="str">
        <x:v>Depreciação acumulada</x:v>
      </x:c>
      <x:c r="D40" t="str">
        <x:v>MATRIZ</x:v>
      </x:c>
      <x:c r="E40" s="26" t="n">
        <x:v>0</x:v>
      </x:c>
      <x:c r="F40" s="26" t="n">
        <x:v>17.025</x:v>
      </x:c>
      <x:c r="G40" s="26" t="n">
        <x:v>-17.025</x:v>
      </x:c>
      <x:c r="H40" t="str">
        <x:v>FECHAMENTO</x:v>
      </x:c>
    </x:row>
    <x:row r="41">
      <x:c r="A41" s="25" t="n">
        <x:v>45717</x:v>
      </x:c>
      <x:c r="B41" t="str">
        <x:v>1.02.03</x:v>
      </x:c>
      <x:c r="C41" t="str">
        <x:v>Outros ativos não circulantes</x:v>
      </x:c>
      <x:c r="D41" t="str">
        <x:v>MATRIZ</x:v>
      </x:c>
      <x:c r="E41" s="26" t="n">
        <x:v>2.55</x:v>
      </x:c>
      <x:c r="F41" s="26" t="n">
        <x:v>0</x:v>
      </x:c>
      <x:c r="G41" s="26" t="n">
        <x:v>2.55</x:v>
      </x:c>
      <x:c r="H41" t="str">
        <x:v>FECHAMENTO</x:v>
      </x:c>
    </x:row>
    <x:row r="42">
      <x:c r="A42" s="25" t="n">
        <x:v>45717</x:v>
      </x:c>
      <x:c r="B42" t="str">
        <x:v>2.01.01</x:v>
      </x:c>
      <x:c r="C42" t="str">
        <x:v>Fornecedores</x:v>
      </x:c>
      <x:c r="D42" t="str">
        <x:v>MATRIZ</x:v>
      </x:c>
      <x:c r="E42" s="26" t="n">
        <x:v>0</x:v>
      </x:c>
      <x:c r="F42" s="26" t="n">
        <x:v>19.950000000000003</x:v>
      </x:c>
      <x:c r="G42" s="26" t="n">
        <x:v>-19.950000000000003</x:v>
      </x:c>
      <x:c r="H42" t="str">
        <x:v>FECHAMENTO</x:v>
      </x:c>
    </x:row>
    <x:row r="43">
      <x:c r="A43" s="25" t="n">
        <x:v>45717</x:v>
      </x:c>
      <x:c r="B43" t="str">
        <x:v>2.01.02</x:v>
      </x:c>
      <x:c r="C43" t="str">
        <x:v>Obrigações trabalhistas e fiscais</x:v>
      </x:c>
      <x:c r="D43" t="str">
        <x:v>MATRIZ</x:v>
      </x:c>
      <x:c r="E43" s="26" t="n">
        <x:v>0</x:v>
      </x:c>
      <x:c r="F43" s="26" t="n">
        <x:v>6.95</x:v>
      </x:c>
      <x:c r="G43" s="26" t="n">
        <x:v>-6.95</x:v>
      </x:c>
      <x:c r="H43" t="str">
        <x:v>FECHAMENTO</x:v>
      </x:c>
    </x:row>
    <x:row r="44">
      <x:c r="A44" s="25" t="n">
        <x:v>45717</x:v>
      </x:c>
      <x:c r="B44" t="str">
        <x:v>2.01.03</x:v>
      </x:c>
      <x:c r="C44" t="str">
        <x:v>Outros passivos</x:v>
      </x:c>
      <x:c r="D44" t="str">
        <x:v>MATRIZ</x:v>
      </x:c>
      <x:c r="E44" s="26" t="n">
        <x:v>0</x:v>
      </x:c>
      <x:c r="F44" s="26" t="n">
        <x:v>2.2750000000000004</x:v>
      </x:c>
      <x:c r="G44" s="26" t="n">
        <x:v>-2.2750000000000004</x:v>
      </x:c>
      <x:c r="H44" t="str">
        <x:v>FECHAMENTO</x:v>
      </x:c>
    </x:row>
    <x:row r="45">
      <x:c r="A45" s="25" t="n">
        <x:v>45717</x:v>
      </x:c>
      <x:c r="B45" t="str">
        <x:v>2.01.04</x:v>
      </x:c>
      <x:c r="C45" t="str">
        <x:v>Empréstimos e financiamentos - CP</x:v>
      </x:c>
      <x:c r="D45" t="str">
        <x:v>MATRIZ</x:v>
      </x:c>
      <x:c r="E45" s="26" t="n">
        <x:v>0</x:v>
      </x:c>
      <x:c r="F45" s="26" t="n">
        <x:v>19.5</x:v>
      </x:c>
      <x:c r="G45" s="26" t="n">
        <x:v>-19.5</x:v>
      </x:c>
      <x:c r="H45" t="str">
        <x:v>FECHAMENTO</x:v>
      </x:c>
    </x:row>
    <x:row r="46">
      <x:c r="A46" s="25" t="n">
        <x:v>45717</x:v>
      </x:c>
      <x:c r="B46" t="str">
        <x:v>2.02.01</x:v>
      </x:c>
      <x:c r="C46" t="str">
        <x:v>Empréstimos e financiamentos - LP</x:v>
      </x:c>
      <x:c r="D46" t="str">
        <x:v>MATRIZ</x:v>
      </x:c>
      <x:c r="E46" s="26" t="n">
        <x:v>0</x:v>
      </x:c>
      <x:c r="F46" s="26" t="n">
        <x:v>41.75</x:v>
      </x:c>
      <x:c r="G46" s="26" t="n">
        <x:v>-41.75</x:v>
      </x:c>
      <x:c r="H46" t="str">
        <x:v>FECHAMENTO</x:v>
      </x:c>
    </x:row>
    <x:row r="47">
      <x:c r="A47" s="25" t="n">
        <x:v>45717</x:v>
      </x:c>
      <x:c r="B47" t="str">
        <x:v>2.03.01</x:v>
      </x:c>
      <x:c r="C47" t="str">
        <x:v>Capital e reservas / lucros acumulados</x:v>
      </x:c>
      <x:c r="D47" t="str">
        <x:v>MATRIZ</x:v>
      </x:c>
      <x:c r="E47" s="26" t="n">
        <x:v>0</x:v>
      </x:c>
      <x:c r="F47" s="26" t="n">
        <x:v>26.341999999999985</x:v>
      </x:c>
      <x:c r="G47" s="26" t="n">
        <x:v>-26.341999999999985</x:v>
      </x:c>
      <x:c r="H47" t="str">
        <x:v>FECHAMENTO</x:v>
      </x:c>
    </x:row>
    <x:row r="48">
      <x:c r="A48" s="25" t="n">
        <x:v>45717</x:v>
      </x:c>
      <x:c r="B48" t="str">
        <x:v>3.01.03</x:v>
      </x:c>
      <x:c r="C48" t="str">
        <x:v>Receita líquida acumulada</x:v>
      </x:c>
      <x:c r="D48" t="str">
        <x:v>MATRIZ</x:v>
      </x:c>
      <x:c r="E48" s="26" t="n">
        <x:v>0</x:v>
      </x:c>
      <x:c r="F48" s="26" t="n">
        <x:v>41.849999999999994</x:v>
      </x:c>
      <x:c r="G48" s="26" t="n">
        <x:v>-41.849999999999994</x:v>
      </x:c>
      <x:c r="H48" t="str">
        <x:v>FECHAMENTO</x:v>
      </x:c>
    </x:row>
    <x:row r="49">
      <x:c r="A49" s="25" t="n">
        <x:v>45717</x:v>
      </x:c>
      <x:c r="B49" t="str">
        <x:v>4.99.01</x:v>
      </x:c>
      <x:c r="C49" t="str">
        <x:v>Custos e despesas acumulados</x:v>
      </x:c>
      <x:c r="D49" t="str">
        <x:v>MATRIZ</x:v>
      </x:c>
      <x:c r="E49" s="26" t="n">
        <x:v>39.592</x:v>
      </x:c>
      <x:c r="F49" s="26" t="n">
        <x:v>0</x:v>
      </x:c>
      <x:c r="G49" s="26" t="n">
        <x:v>39.592</x:v>
      </x:c>
      <x:c r="H49" t="str">
        <x:v>FECHAMENTO</x:v>
      </x:c>
    </x:row>
    <x:row r="50">
      <x:c r="A50" s="25" t="n">
        <x:v>45748</x:v>
      </x:c>
      <x:c r="B50" t="str">
        <x:v>1.01.01</x:v>
      </x:c>
      <x:c r="C50" t="str">
        <x:v>Caixa e equivalentes</x:v>
      </x:c>
      <x:c r="D50" t="str">
        <x:v>MATRIZ</x:v>
      </x:c>
      <x:c r="E50" s="26" t="n">
        <x:v>8.2</x:v>
      </x:c>
      <x:c r="F50" s="26" t="n">
        <x:v>0</x:v>
      </x:c>
      <x:c r="G50" s="26" t="n">
        <x:v>8.2</x:v>
      </x:c>
      <x:c r="H50" t="str">
        <x:v>FECHAMENTO</x:v>
      </x:c>
    </x:row>
    <x:row r="51">
      <x:c r="A51" s="25" t="n">
        <x:v>45748</x:v>
      </x:c>
      <x:c r="B51" t="str">
        <x:v>1.01.02</x:v>
      </x:c>
      <x:c r="C51" t="str">
        <x:v>Contas a receber</x:v>
      </x:c>
      <x:c r="D51" t="str">
        <x:v>MATRIZ</x:v>
      </x:c>
      <x:c r="E51" s="26" t="n">
        <x:v>16.6</x:v>
      </x:c>
      <x:c r="F51" s="26" t="n">
        <x:v>0</x:v>
      </x:c>
      <x:c r="G51" s="26" t="n">
        <x:v>16.6</x:v>
      </x:c>
      <x:c r="H51" t="str">
        <x:v>FECHAMENTO</x:v>
      </x:c>
    </x:row>
    <x:row r="52">
      <x:c r="A52" s="25" t="n">
        <x:v>45748</x:v>
      </x:c>
      <x:c r="B52" t="str">
        <x:v>1.01.03</x:v>
      </x:c>
      <x:c r="C52" t="str">
        <x:v>Estoques</x:v>
      </x:c>
      <x:c r="D52" t="str">
        <x:v>MATRIZ</x:v>
      </x:c>
      <x:c r="E52" s="26" t="n">
        <x:v>26.833333333333332</x:v>
      </x:c>
      <x:c r="F52" s="26" t="n">
        <x:v>0</x:v>
      </x:c>
      <x:c r="G52" s="26" t="n">
        <x:v>26.833333333333332</x:v>
      </x:c>
      <x:c r="H52" t="str">
        <x:v>FECHAMENTO</x:v>
      </x:c>
    </x:row>
    <x:row r="53">
      <x:c r="A53" s="25" t="n">
        <x:v>45748</x:v>
      </x:c>
      <x:c r="B53" t="str">
        <x:v>1.01.04</x:v>
      </x:c>
      <x:c r="C53" t="str">
        <x:v>Tributos a recuperar</x:v>
      </x:c>
      <x:c r="D53" t="str">
        <x:v>MATRIZ</x:v>
      </x:c>
      <x:c r="E53" s="26" t="n">
        <x:v>3.066666666666667</x:v>
      </x:c>
      <x:c r="F53" s="26" t="n">
        <x:v>0</x:v>
      </x:c>
      <x:c r="G53" s="26" t="n">
        <x:v>3.066666666666667</x:v>
      </x:c>
      <x:c r="H53" t="str">
        <x:v>FECHAMENTO</x:v>
      </x:c>
    </x:row>
    <x:row r="54">
      <x:c r="A54" s="25" t="n">
        <x:v>45748</x:v>
      </x:c>
      <x:c r="B54" t="str">
        <x:v>1.01.05</x:v>
      </x:c>
      <x:c r="C54" t="str">
        <x:v>Outros ativos circulantes</x:v>
      </x:c>
      <x:c r="D54" t="str">
        <x:v>MATRIZ</x:v>
      </x:c>
      <x:c r="E54" s="26" t="n">
        <x:v>3.7666666666666666</x:v>
      </x:c>
      <x:c r="F54" s="26" t="n">
        <x:v>0</x:v>
      </x:c>
      <x:c r="G54" s="26" t="n">
        <x:v>3.7666666666666666</x:v>
      </x:c>
      <x:c r="H54" t="str">
        <x:v>FECHAMENTO</x:v>
      </x:c>
    </x:row>
    <x:row r="55">
      <x:c r="A55" s="25" t="n">
        <x:v>45748</x:v>
      </x:c>
      <x:c r="B55" t="str">
        <x:v>1.02.01</x:v>
      </x:c>
      <x:c r="C55" t="str">
        <x:v>Imobilizado - custo</x:v>
      </x:c>
      <x:c r="D55" t="str">
        <x:v>MATRIZ</x:v>
      </x:c>
      <x:c r="E55" s="26" t="n">
        <x:v>76.46666666666667</x:v>
      </x:c>
      <x:c r="F55" s="26" t="n">
        <x:v>0</x:v>
      </x:c>
      <x:c r="G55" s="26" t="n">
        <x:v>76.46666666666667</x:v>
      </x:c>
      <x:c r="H55" t="str">
        <x:v>FECHAMENTO</x:v>
      </x:c>
    </x:row>
    <x:row r="56">
      <x:c r="A56" s="25" t="n">
        <x:v>45748</x:v>
      </x:c>
      <x:c r="B56" t="str">
        <x:v>1.02.02</x:v>
      </x:c>
      <x:c r="C56" t="str">
        <x:v>Depreciação acumulada</x:v>
      </x:c>
      <x:c r="D56" t="str">
        <x:v>MATRIZ</x:v>
      </x:c>
      <x:c r="E56" s="26" t="n">
        <x:v>0</x:v>
      </x:c>
      <x:c r="F56" s="26" t="n">
        <x:v>17.23333333333333</x:v>
      </x:c>
      <x:c r="G56" s="26" t="n">
        <x:v>-17.23333333333333</x:v>
      </x:c>
      <x:c r="H56" t="str">
        <x:v>FECHAMENTO</x:v>
      </x:c>
    </x:row>
    <x:row r="57">
      <x:c r="A57" s="25" t="n">
        <x:v>45748</x:v>
      </x:c>
      <x:c r="B57" t="str">
        <x:v>1.02.03</x:v>
      </x:c>
      <x:c r="C57" t="str">
        <x:v>Outros ativos não circulantes</x:v>
      </x:c>
      <x:c r="D57" t="str">
        <x:v>MATRIZ</x:v>
      </x:c>
      <x:c r="E57" s="26" t="n">
        <x:v>2.566666666666667</x:v>
      </x:c>
      <x:c r="F57" s="26" t="n">
        <x:v>0</x:v>
      </x:c>
      <x:c r="G57" s="26" t="n">
        <x:v>2.566666666666667</x:v>
      </x:c>
      <x:c r="H57" t="str">
        <x:v>FECHAMENTO</x:v>
      </x:c>
    </x:row>
    <x:row r="58">
      <x:c r="A58" s="25" t="n">
        <x:v>45748</x:v>
      </x:c>
      <x:c r="B58" t="str">
        <x:v>2.01.01</x:v>
      </x:c>
      <x:c r="C58" t="str">
        <x:v>Fornecedores</x:v>
      </x:c>
      <x:c r="D58" t="str">
        <x:v>MATRIZ</x:v>
      </x:c>
      <x:c r="E58" s="26" t="n">
        <x:v>0</x:v>
      </x:c>
      <x:c r="F58" s="26" t="n">
        <x:v>20.233333333333334</x:v>
      </x:c>
      <x:c r="G58" s="26" t="n">
        <x:v>-20.233333333333334</x:v>
      </x:c>
      <x:c r="H58" t="str">
        <x:v>FECHAMENTO</x:v>
      </x:c>
    </x:row>
    <x:row r="59">
      <x:c r="A59" s="25" t="n">
        <x:v>45748</x:v>
      </x:c>
      <x:c r="B59" t="str">
        <x:v>2.01.02</x:v>
      </x:c>
      <x:c r="C59" t="str">
        <x:v>Obrigações trabalhistas e fiscais</x:v>
      </x:c>
      <x:c r="D59" t="str">
        <x:v>MATRIZ</x:v>
      </x:c>
      <x:c r="E59" s="26" t="n">
        <x:v>0</x:v>
      </x:c>
      <x:c r="F59" s="26" t="n">
        <x:v>7</x:v>
      </x:c>
      <x:c r="G59" s="26" t="n">
        <x:v>-7</x:v>
      </x:c>
      <x:c r="H59" t="str">
        <x:v>FECHAMENTO</x:v>
      </x:c>
    </x:row>
    <x:row r="60">
      <x:c r="A60" s="25" t="n">
        <x:v>45748</x:v>
      </x:c>
      <x:c r="B60" t="str">
        <x:v>2.01.03</x:v>
      </x:c>
      <x:c r="C60" t="str">
        <x:v>Outros passivos</x:v>
      </x:c>
      <x:c r="D60" t="str">
        <x:v>MATRIZ</x:v>
      </x:c>
      <x:c r="E60" s="26" t="n">
        <x:v>0</x:v>
      </x:c>
      <x:c r="F60" s="26" t="n">
        <x:v>2.3000000000000003</x:v>
      </x:c>
      <x:c r="G60" s="26" t="n">
        <x:v>-2.3000000000000003</x:v>
      </x:c>
      <x:c r="H60" t="str">
        <x:v>FECHAMENTO</x:v>
      </x:c>
    </x:row>
    <x:row r="61">
      <x:c r="A61" s="25" t="n">
        <x:v>45748</x:v>
      </x:c>
      <x:c r="B61" t="str">
        <x:v>2.01.04</x:v>
      </x:c>
      <x:c r="C61" t="str">
        <x:v>Empréstimos e financiamentos - CP</x:v>
      </x:c>
      <x:c r="D61" t="str">
        <x:v>MATRIZ</x:v>
      </x:c>
      <x:c r="E61" s="26" t="n">
        <x:v>0</x:v>
      </x:c>
      <x:c r="F61" s="26" t="n">
        <x:v>19.666666666666668</x:v>
      </x:c>
      <x:c r="G61" s="26" t="n">
        <x:v>-19.666666666666668</x:v>
      </x:c>
      <x:c r="H61" t="str">
        <x:v>FECHAMENTO</x:v>
      </x:c>
    </x:row>
    <x:row r="62">
      <x:c r="A62" s="25" t="n">
        <x:v>45748</x:v>
      </x:c>
      <x:c r="B62" t="str">
        <x:v>2.02.01</x:v>
      </x:c>
      <x:c r="C62" t="str">
        <x:v>Empréstimos e financiamentos - LP</x:v>
      </x:c>
      <x:c r="D62" t="str">
        <x:v>MATRIZ</x:v>
      </x:c>
      <x:c r="E62" s="26" t="n">
        <x:v>0</x:v>
      </x:c>
      <x:c r="F62" s="26" t="n">
        <x:v>42</x:v>
      </x:c>
      <x:c r="G62" s="26" t="n">
        <x:v>-42</x:v>
      </x:c>
      <x:c r="H62" t="str">
        <x:v>FECHAMENTO</x:v>
      </x:c>
    </x:row>
    <x:row r="63">
      <x:c r="A63" s="25" t="n">
        <x:v>45748</x:v>
      </x:c>
      <x:c r="B63" t="str">
        <x:v>2.03.01</x:v>
      </x:c>
      <x:c r="C63" t="str">
        <x:v>Capital e reservas / lucros acumulados</x:v>
      </x:c>
      <x:c r="D63" t="str">
        <x:v>MATRIZ</x:v>
      </x:c>
      <x:c r="E63" s="26" t="n">
        <x:v>0</x:v>
      </x:c>
      <x:c r="F63" s="26" t="n">
        <x:v>25.984666666666698</x:v>
      </x:c>
      <x:c r="G63" s="26" t="n">
        <x:v>-25.984666666666698</x:v>
      </x:c>
      <x:c r="H63" t="str">
        <x:v>FECHAMENTO</x:v>
      </x:c>
    </x:row>
    <x:row r="64">
      <x:c r="A64" s="25" t="n">
        <x:v>45748</x:v>
      </x:c>
      <x:c r="B64" t="str">
        <x:v>3.01.03</x:v>
      </x:c>
      <x:c r="C64" t="str">
        <x:v>Receita líquida acumulada</x:v>
      </x:c>
      <x:c r="D64" t="str">
        <x:v>MATRIZ</x:v>
      </x:c>
      <x:c r="E64" s="26" t="n">
        <x:v>0</x:v>
      </x:c>
      <x:c r="F64" s="26" t="n">
        <x:v>56.544</x:v>
      </x:c>
      <x:c r="G64" s="26" t="n">
        <x:v>-56.544</x:v>
      </x:c>
      <x:c r="H64" t="str">
        <x:v>FECHAMENTO</x:v>
      </x:c>
    </x:row>
    <x:row r="65">
      <x:c r="A65" s="25" t="n">
        <x:v>45748</x:v>
      </x:c>
      <x:c r="B65" t="str">
        <x:v>4.99.01</x:v>
      </x:c>
      <x:c r="C65" t="str">
        <x:v>Custos e despesas acumulados</x:v>
      </x:c>
      <x:c r="D65" t="str">
        <x:v>MATRIZ</x:v>
      </x:c>
      <x:c r="E65" s="26" t="n">
        <x:v>53.46200000000001</x:v>
      </x:c>
      <x:c r="F65" s="26" t="n">
        <x:v>0</x:v>
      </x:c>
      <x:c r="G65" s="26" t="n">
        <x:v>53.46200000000001</x:v>
      </x:c>
      <x:c r="H65" t="str">
        <x:v>FECHAMENTO</x:v>
      </x:c>
    </x:row>
    <x:row r="66">
      <x:c r="A66" s="25" t="n">
        <x:v>45778</x:v>
      </x:c>
      <x:c r="B66" t="str">
        <x:v>1.01.01</x:v>
      </x:c>
      <x:c r="C66" t="str">
        <x:v>Caixa e equivalentes</x:v>
      </x:c>
      <x:c r="D66" t="str">
        <x:v>MATRIZ</x:v>
      </x:c>
      <x:c r="E66" s="26" t="n">
        <x:v>8.25</x:v>
      </x:c>
      <x:c r="F66" s="26" t="n">
        <x:v>0</x:v>
      </x:c>
      <x:c r="G66" s="26" t="n">
        <x:v>8.25</x:v>
      </x:c>
      <x:c r="H66" t="str">
        <x:v>FECHAMENTO</x:v>
      </x:c>
    </x:row>
    <x:row r="67">
      <x:c r="A67" s="25" t="n">
        <x:v>45778</x:v>
      </x:c>
      <x:c r="B67" t="str">
        <x:v>1.01.02</x:v>
      </x:c>
      <x:c r="C67" t="str">
        <x:v>Contas a receber</x:v>
      </x:c>
      <x:c r="D67" t="str">
        <x:v>MATRIZ</x:v>
      </x:c>
      <x:c r="E67" s="26" t="n">
        <x:v>16.775</x:v>
      </x:c>
      <x:c r="F67" s="26" t="n">
        <x:v>0</x:v>
      </x:c>
      <x:c r="G67" s="26" t="n">
        <x:v>16.775</x:v>
      </x:c>
      <x:c r="H67" t="str">
        <x:v>FECHAMENTO</x:v>
      </x:c>
    </x:row>
    <x:row r="68">
      <x:c r="A68" s="25" t="n">
        <x:v>45778</x:v>
      </x:c>
      <x:c r="B68" t="str">
        <x:v>1.01.03</x:v>
      </x:c>
      <x:c r="C68" t="str">
        <x:v>Estoques</x:v>
      </x:c>
      <x:c r="D68" t="str">
        <x:v>MATRIZ</x:v>
      </x:c>
      <x:c r="E68" s="26" t="n">
        <x:v>27.191666666666666</x:v>
      </x:c>
      <x:c r="F68" s="26" t="n">
        <x:v>0</x:v>
      </x:c>
      <x:c r="G68" s="26" t="n">
        <x:v>27.191666666666666</x:v>
      </x:c>
      <x:c r="H68" t="str">
        <x:v>FECHAMENTO</x:v>
      </x:c>
    </x:row>
    <x:row r="69">
      <x:c r="A69" s="25" t="n">
        <x:v>45778</x:v>
      </x:c>
      <x:c r="B69" t="str">
        <x:v>1.01.04</x:v>
      </x:c>
      <x:c r="C69" t="str">
        <x:v>Tributos a recuperar</x:v>
      </x:c>
      <x:c r="D69" t="str">
        <x:v>MATRIZ</x:v>
      </x:c>
      <x:c r="E69" s="26" t="n">
        <x:v>3.0833333333333335</x:v>
      </x:c>
      <x:c r="F69" s="26" t="n">
        <x:v>0</x:v>
      </x:c>
      <x:c r="G69" s="26" t="n">
        <x:v>3.0833333333333335</x:v>
      </x:c>
      <x:c r="H69" t="str">
        <x:v>FECHAMENTO</x:v>
      </x:c>
    </x:row>
    <x:row r="70">
      <x:c r="A70" s="25" t="n">
        <x:v>45778</x:v>
      </x:c>
      <x:c r="B70" t="str">
        <x:v>1.01.05</x:v>
      </x:c>
      <x:c r="C70" t="str">
        <x:v>Outros ativos circulantes</x:v>
      </x:c>
      <x:c r="D70" t="str">
        <x:v>MATRIZ</x:v>
      </x:c>
      <x:c r="E70" s="26" t="n">
        <x:v>3.783333333333333</x:v>
      </x:c>
      <x:c r="F70" s="26" t="n">
        <x:v>0</x:v>
      </x:c>
      <x:c r="G70" s="26" t="n">
        <x:v>3.783333333333333</x:v>
      </x:c>
      <x:c r="H70" t="str">
        <x:v>FECHAMENTO</x:v>
      </x:c>
    </x:row>
    <x:row r="71">
      <x:c r="A71" s="25" t="n">
        <x:v>45778</x:v>
      </x:c>
      <x:c r="B71" t="str">
        <x:v>1.02.01</x:v>
      </x:c>
      <x:c r="C71" t="str">
        <x:v>Imobilizado - custo</x:v>
      </x:c>
      <x:c r="D71" t="str">
        <x:v>MATRIZ</x:v>
      </x:c>
      <x:c r="E71" s="26" t="n">
        <x:v>77.28333333333333</x:v>
      </x:c>
      <x:c r="F71" s="26" t="n">
        <x:v>0</x:v>
      </x:c>
      <x:c r="G71" s="26" t="n">
        <x:v>77.28333333333333</x:v>
      </x:c>
      <x:c r="H71" t="str">
        <x:v>FECHAMENTO</x:v>
      </x:c>
    </x:row>
    <x:row r="72">
      <x:c r="A72" s="25" t="n">
        <x:v>45778</x:v>
      </x:c>
      <x:c r="B72" t="str">
        <x:v>1.02.02</x:v>
      </x:c>
      <x:c r="C72" t="str">
        <x:v>Depreciação acumulada</x:v>
      </x:c>
      <x:c r="D72" t="str">
        <x:v>MATRIZ</x:v>
      </x:c>
      <x:c r="E72" s="26" t="n">
        <x:v>0</x:v>
      </x:c>
      <x:c r="F72" s="26" t="n">
        <x:v>17.441666666666666</x:v>
      </x:c>
      <x:c r="G72" s="26" t="n">
        <x:v>-17.441666666666666</x:v>
      </x:c>
      <x:c r="H72" t="str">
        <x:v>FECHAMENTO</x:v>
      </x:c>
    </x:row>
    <x:row r="73">
      <x:c r="A73" s="25" t="n">
        <x:v>45778</x:v>
      </x:c>
      <x:c r="B73" t="str">
        <x:v>1.02.03</x:v>
      </x:c>
      <x:c r="C73" t="str">
        <x:v>Outros ativos não circulantes</x:v>
      </x:c>
      <x:c r="D73" t="str">
        <x:v>MATRIZ</x:v>
      </x:c>
      <x:c r="E73" s="26" t="n">
        <x:v>2.5833333333333335</x:v>
      </x:c>
      <x:c r="F73" s="26" t="n">
        <x:v>0</x:v>
      </x:c>
      <x:c r="G73" s="26" t="n">
        <x:v>2.5833333333333335</x:v>
      </x:c>
      <x:c r="H73" t="str">
        <x:v>FECHAMENTO</x:v>
      </x:c>
    </x:row>
    <x:row r="74">
      <x:c r="A74" s="25" t="n">
        <x:v>45778</x:v>
      </x:c>
      <x:c r="B74" t="str">
        <x:v>2.01.01</x:v>
      </x:c>
      <x:c r="C74" t="str">
        <x:v>Fornecedores</x:v>
      </x:c>
      <x:c r="D74" t="str">
        <x:v>MATRIZ</x:v>
      </x:c>
      <x:c r="E74" s="26" t="n">
        <x:v>0</x:v>
      </x:c>
      <x:c r="F74" s="26" t="n">
        <x:v>20.516666666666666</x:v>
      </x:c>
      <x:c r="G74" s="26" t="n">
        <x:v>-20.516666666666666</x:v>
      </x:c>
      <x:c r="H74" t="str">
        <x:v>FECHAMENTO</x:v>
      </x:c>
    </x:row>
    <x:row r="75">
      <x:c r="A75" s="25" t="n">
        <x:v>45778</x:v>
      </x:c>
      <x:c r="B75" t="str">
        <x:v>2.01.02</x:v>
      </x:c>
      <x:c r="C75" t="str">
        <x:v>Obrigações trabalhistas e fiscais</x:v>
      </x:c>
      <x:c r="D75" t="str">
        <x:v>MATRIZ</x:v>
      </x:c>
      <x:c r="E75" s="26" t="n">
        <x:v>0</x:v>
      </x:c>
      <x:c r="F75" s="26" t="n">
        <x:v>7.05</x:v>
      </x:c>
      <x:c r="G75" s="26" t="n">
        <x:v>-7.05</x:v>
      </x:c>
      <x:c r="H75" t="str">
        <x:v>FECHAMENTO</x:v>
      </x:c>
    </x:row>
    <x:row r="76">
      <x:c r="A76" s="25" t="n">
        <x:v>45778</x:v>
      </x:c>
      <x:c r="B76" t="str">
        <x:v>2.01.03</x:v>
      </x:c>
      <x:c r="C76" t="str">
        <x:v>Outros passivos</x:v>
      </x:c>
      <x:c r="D76" t="str">
        <x:v>MATRIZ</x:v>
      </x:c>
      <x:c r="E76" s="26" t="n">
        <x:v>0</x:v>
      </x:c>
      <x:c r="F76" s="26" t="n">
        <x:v>2.325</x:v>
      </x:c>
      <x:c r="G76" s="26" t="n">
        <x:v>-2.325</x:v>
      </x:c>
      <x:c r="H76" t="str">
        <x:v>FECHAMENTO</x:v>
      </x:c>
    </x:row>
    <x:row r="77">
      <x:c r="A77" s="25" t="n">
        <x:v>45778</x:v>
      </x:c>
      <x:c r="B77" t="str">
        <x:v>2.01.04</x:v>
      </x:c>
      <x:c r="C77" t="str">
        <x:v>Empréstimos e financiamentos - CP</x:v>
      </x:c>
      <x:c r="D77" t="str">
        <x:v>MATRIZ</x:v>
      </x:c>
      <x:c r="E77" s="26" t="n">
        <x:v>0</x:v>
      </x:c>
      <x:c r="F77" s="26" t="n">
        <x:v>19.833333333333332</x:v>
      </x:c>
      <x:c r="G77" s="26" t="n">
        <x:v>-19.833333333333332</x:v>
      </x:c>
      <x:c r="H77" t="str">
        <x:v>FECHAMENTO</x:v>
      </x:c>
    </x:row>
    <x:row r="78">
      <x:c r="A78" s="25" t="n">
        <x:v>45778</x:v>
      </x:c>
      <x:c r="B78" t="str">
        <x:v>2.02.01</x:v>
      </x:c>
      <x:c r="C78" t="str">
        <x:v>Empréstimos e financiamentos - LP</x:v>
      </x:c>
      <x:c r="D78" t="str">
        <x:v>MATRIZ</x:v>
      </x:c>
      <x:c r="E78" s="26" t="n">
        <x:v>0</x:v>
      </x:c>
      <x:c r="F78" s="26" t="n">
        <x:v>42.25</x:v>
      </x:c>
      <x:c r="G78" s="26" t="n">
        <x:v>-42.25</x:v>
      </x:c>
      <x:c r="H78" t="str">
        <x:v>FECHAMENTO</x:v>
      </x:c>
    </x:row>
    <x:row r="79">
      <x:c r="A79" s="25" t="n">
        <x:v>45778</x:v>
      </x:c>
      <x:c r="B79" t="str">
        <x:v>2.03.01</x:v>
      </x:c>
      <x:c r="C79" t="str">
        <x:v>Capital e reservas / lucros acumulados</x:v>
      </x:c>
      <x:c r="D79" t="str">
        <x:v>MATRIZ</x:v>
      </x:c>
      <x:c r="E79" s="26" t="n">
        <x:v>0</x:v>
      </x:c>
      <x:c r="F79" s="26" t="n">
        <x:v>25.60033333333334</x:v>
      </x:c>
      <x:c r="G79" s="26" t="n">
        <x:v>-25.60033333333334</x:v>
      </x:c>
      <x:c r="H79" t="str">
        <x:v>FECHAMENTO</x:v>
      </x:c>
    </x:row>
    <x:row r="80">
      <x:c r="A80" s="25" t="n">
        <x:v>45778</x:v>
      </x:c>
      <x:c r="B80" t="str">
        <x:v>3.01.03</x:v>
      </x:c>
      <x:c r="C80" t="str">
        <x:v>Receita líquida acumulada</x:v>
      </x:c>
      <x:c r="D80" t="str">
        <x:v>MATRIZ</x:v>
      </x:c>
      <x:c r="E80" s="26" t="n">
        <x:v>0</x:v>
      </x:c>
      <x:c r="F80" s="26" t="n">
        <x:v>71.42399999999999</x:v>
      </x:c>
      <x:c r="G80" s="26" t="n">
        <x:v>-71.42399999999999</x:v>
      </x:c>
      <x:c r="H80" t="str">
        <x:v>FECHAMENTO</x:v>
      </x:c>
    </x:row>
    <x:row r="81">
      <x:c r="A81" s="25" t="n">
        <x:v>45778</x:v>
      </x:c>
      <x:c r="B81" t="str">
        <x:v>4.99.01</x:v>
      </x:c>
      <x:c r="C81" t="str">
        <x:v>Custos e despesas acumulados</x:v>
      </x:c>
      <x:c r="D81" t="str">
        <x:v>MATRIZ</x:v>
      </x:c>
      <x:c r="E81" s="26" t="n">
        <x:v>67.49099999999999</x:v>
      </x:c>
      <x:c r="F81" s="26" t="n">
        <x:v>0</x:v>
      </x:c>
      <x:c r="G81" s="26" t="n">
        <x:v>67.49099999999999</x:v>
      </x:c>
      <x:c r="H81" t="str">
        <x:v>FECHAMENTO</x:v>
      </x:c>
    </x:row>
    <x:row r="82">
      <x:c r="A82" s="25" t="n">
        <x:v>45809</x:v>
      </x:c>
      <x:c r="B82" t="str">
        <x:v>1.01.01</x:v>
      </x:c>
      <x:c r="C82" t="str">
        <x:v>Caixa e equivalentes</x:v>
      </x:c>
      <x:c r="D82" t="str">
        <x:v>MATRIZ</x:v>
      </x:c>
      <x:c r="E82" s="26" t="n">
        <x:v>8.3</x:v>
      </x:c>
      <x:c r="F82" s="26" t="n">
        <x:v>0</x:v>
      </x:c>
      <x:c r="G82" s="26" t="n">
        <x:v>8.3</x:v>
      </x:c>
      <x:c r="H82" t="str">
        <x:v>FECHAMENTO</x:v>
      </x:c>
    </x:row>
    <x:row r="83">
      <x:c r="A83" s="25" t="n">
        <x:v>45809</x:v>
      </x:c>
      <x:c r="B83" t="str">
        <x:v>1.01.02</x:v>
      </x:c>
      <x:c r="C83" t="str">
        <x:v>Contas a receber</x:v>
      </x:c>
      <x:c r="D83" t="str">
        <x:v>MATRIZ</x:v>
      </x:c>
      <x:c r="E83" s="26" t="n">
        <x:v>16.95</x:v>
      </x:c>
      <x:c r="F83" s="26" t="n">
        <x:v>0</x:v>
      </x:c>
      <x:c r="G83" s="26" t="n">
        <x:v>16.95</x:v>
      </x:c>
      <x:c r="H83" t="str">
        <x:v>FECHAMENTO</x:v>
      </x:c>
    </x:row>
    <x:row r="84">
      <x:c r="A84" s="25" t="n">
        <x:v>45809</x:v>
      </x:c>
      <x:c r="B84" t="str">
        <x:v>1.01.03</x:v>
      </x:c>
      <x:c r="C84" t="str">
        <x:v>Estoques</x:v>
      </x:c>
      <x:c r="D84" t="str">
        <x:v>MATRIZ</x:v>
      </x:c>
      <x:c r="E84" s="26" t="n">
        <x:v>27.549999999999997</x:v>
      </x:c>
      <x:c r="F84" s="26" t="n">
        <x:v>0</x:v>
      </x:c>
      <x:c r="G84" s="26" t="n">
        <x:v>27.549999999999997</x:v>
      </x:c>
      <x:c r="H84" t="str">
        <x:v>FECHAMENTO</x:v>
      </x:c>
    </x:row>
    <x:row r="85">
      <x:c r="A85" s="25" t="n">
        <x:v>45809</x:v>
      </x:c>
      <x:c r="B85" t="str">
        <x:v>1.01.04</x:v>
      </x:c>
      <x:c r="C85" t="str">
        <x:v>Tributos a recuperar</x:v>
      </x:c>
      <x:c r="D85" t="str">
        <x:v>MATRIZ</x:v>
      </x:c>
      <x:c r="E85" s="26" t="n">
        <x:v>3.1</x:v>
      </x:c>
      <x:c r="F85" s="26" t="n">
        <x:v>0</x:v>
      </x:c>
      <x:c r="G85" s="26" t="n">
        <x:v>3.1</x:v>
      </x:c>
      <x:c r="H85" t="str">
        <x:v>FECHAMENTO</x:v>
      </x:c>
    </x:row>
    <x:row r="86">
      <x:c r="A86" s="25" t="n">
        <x:v>45809</x:v>
      </x:c>
      <x:c r="B86" t="str">
        <x:v>1.01.05</x:v>
      </x:c>
      <x:c r="C86" t="str">
        <x:v>Outros ativos circulantes</x:v>
      </x:c>
      <x:c r="D86" t="str">
        <x:v>MATRIZ</x:v>
      </x:c>
      <x:c r="E86" s="26" t="n">
        <x:v>3.8</x:v>
      </x:c>
      <x:c r="F86" s="26" t="n">
        <x:v>0</x:v>
      </x:c>
      <x:c r="G86" s="26" t="n">
        <x:v>3.8</x:v>
      </x:c>
      <x:c r="H86" t="str">
        <x:v>FECHAMENTO</x:v>
      </x:c>
    </x:row>
    <x:row r="87">
      <x:c r="A87" s="25" t="n">
        <x:v>45809</x:v>
      </x:c>
      <x:c r="B87" t="str">
        <x:v>1.02.01</x:v>
      </x:c>
      <x:c r="C87" t="str">
        <x:v>Imobilizado - custo</x:v>
      </x:c>
      <x:c r="D87" t="str">
        <x:v>MATRIZ</x:v>
      </x:c>
      <x:c r="E87" s="26" t="n">
        <x:v>78.1</x:v>
      </x:c>
      <x:c r="F87" s="26" t="n">
        <x:v>0</x:v>
      </x:c>
      <x:c r="G87" s="26" t="n">
        <x:v>78.1</x:v>
      </x:c>
      <x:c r="H87" t="str">
        <x:v>FECHAMENTO</x:v>
      </x:c>
    </x:row>
    <x:row r="88">
      <x:c r="A88" s="25" t="n">
        <x:v>45809</x:v>
      </x:c>
      <x:c r="B88" t="str">
        <x:v>1.02.02</x:v>
      </x:c>
      <x:c r="C88" t="str">
        <x:v>Depreciação acumulada</x:v>
      </x:c>
      <x:c r="D88" t="str">
        <x:v>MATRIZ</x:v>
      </x:c>
      <x:c r="E88" s="26" t="n">
        <x:v>0</x:v>
      </x:c>
      <x:c r="F88" s="26" t="n">
        <x:v>17.65</x:v>
      </x:c>
      <x:c r="G88" s="26" t="n">
        <x:v>-17.65</x:v>
      </x:c>
      <x:c r="H88" t="str">
        <x:v>FECHAMENTO</x:v>
      </x:c>
    </x:row>
    <x:row r="89">
      <x:c r="A89" s="25" t="n">
        <x:v>45809</x:v>
      </x:c>
      <x:c r="B89" t="str">
        <x:v>1.02.03</x:v>
      </x:c>
      <x:c r="C89" t="str">
        <x:v>Outros ativos não circulantes</x:v>
      </x:c>
      <x:c r="D89" t="str">
        <x:v>MATRIZ</x:v>
      </x:c>
      <x:c r="E89" s="26" t="n">
        <x:v>2.6</x:v>
      </x:c>
      <x:c r="F89" s="26" t="n">
        <x:v>0</x:v>
      </x:c>
      <x:c r="G89" s="26" t="n">
        <x:v>2.6</x:v>
      </x:c>
      <x:c r="H89" t="str">
        <x:v>FECHAMENTO</x:v>
      </x:c>
    </x:row>
    <x:row r="90">
      <x:c r="A90" s="25" t="n">
        <x:v>45809</x:v>
      </x:c>
      <x:c r="B90" t="str">
        <x:v>2.01.01</x:v>
      </x:c>
      <x:c r="C90" t="str">
        <x:v>Fornecedores</x:v>
      </x:c>
      <x:c r="D90" t="str">
        <x:v>MATRIZ</x:v>
      </x:c>
      <x:c r="E90" s="26" t="n">
        <x:v>0</x:v>
      </x:c>
      <x:c r="F90" s="26" t="n">
        <x:v>20.8</x:v>
      </x:c>
      <x:c r="G90" s="26" t="n">
        <x:v>-20.8</x:v>
      </x:c>
      <x:c r="H90" t="str">
        <x:v>FECHAMENTO</x:v>
      </x:c>
    </x:row>
    <x:row r="91">
      <x:c r="A91" s="25" t="n">
        <x:v>45809</x:v>
      </x:c>
      <x:c r="B91" t="str">
        <x:v>2.01.02</x:v>
      </x:c>
      <x:c r="C91" t="str">
        <x:v>Obrigações trabalhistas e fiscais</x:v>
      </x:c>
      <x:c r="D91" t="str">
        <x:v>MATRIZ</x:v>
      </x:c>
      <x:c r="E91" s="26" t="n">
        <x:v>0</x:v>
      </x:c>
      <x:c r="F91" s="26" t="n">
        <x:v>7.1</x:v>
      </x:c>
      <x:c r="G91" s="26" t="n">
        <x:v>-7.1</x:v>
      </x:c>
      <x:c r="H91" t="str">
        <x:v>FECHAMENTO</x:v>
      </x:c>
    </x:row>
    <x:row r="92">
      <x:c r="A92" s="25" t="n">
        <x:v>45809</x:v>
      </x:c>
      <x:c r="B92" t="str">
        <x:v>2.01.03</x:v>
      </x:c>
      <x:c r="C92" t="str">
        <x:v>Outros passivos</x:v>
      </x:c>
      <x:c r="D92" t="str">
        <x:v>MATRIZ</x:v>
      </x:c>
      <x:c r="E92" s="26" t="n">
        <x:v>0</x:v>
      </x:c>
      <x:c r="F92" s="26" t="n">
        <x:v>2.35</x:v>
      </x:c>
      <x:c r="G92" s="26" t="n">
        <x:v>-2.35</x:v>
      </x:c>
      <x:c r="H92" t="str">
        <x:v>FECHAMENTO</x:v>
      </x:c>
    </x:row>
    <x:row r="93">
      <x:c r="A93" s="25" t="n">
        <x:v>45809</x:v>
      </x:c>
      <x:c r="B93" t="str">
        <x:v>2.01.04</x:v>
      </x:c>
      <x:c r="C93" t="str">
        <x:v>Empréstimos e financiamentos - CP</x:v>
      </x:c>
      <x:c r="D93" t="str">
        <x:v>MATRIZ</x:v>
      </x:c>
      <x:c r="E93" s="26" t="n">
        <x:v>0</x:v>
      </x:c>
      <x:c r="F93" s="26" t="n">
        <x:v>20</x:v>
      </x:c>
      <x:c r="G93" s="26" t="n">
        <x:v>-20</x:v>
      </x:c>
      <x:c r="H93" t="str">
        <x:v>FECHAMENTO</x:v>
      </x:c>
    </x:row>
    <x:row r="94">
      <x:c r="A94" s="25" t="n">
        <x:v>45809</x:v>
      </x:c>
      <x:c r="B94" t="str">
        <x:v>2.02.01</x:v>
      </x:c>
      <x:c r="C94" t="str">
        <x:v>Empréstimos e financiamentos - LP</x:v>
      </x:c>
      <x:c r="D94" t="str">
        <x:v>MATRIZ</x:v>
      </x:c>
      <x:c r="E94" s="26" t="n">
        <x:v>0</x:v>
      </x:c>
      <x:c r="F94" s="26" t="n">
        <x:v>42.5</x:v>
      </x:c>
      <x:c r="G94" s="26" t="n">
        <x:v>-42.5</x:v>
      </x:c>
      <x:c r="H94" t="str">
        <x:v>FECHAMENTO</x:v>
      </x:c>
    </x:row>
    <x:row r="95">
      <x:c r="A95" s="25" t="n">
        <x:v>45809</x:v>
      </x:c>
      <x:c r="B95" t="str">
        <x:v>2.03.01</x:v>
      </x:c>
      <x:c r="C95" t="str">
        <x:v>Capital e reservas / lucros acumulados</x:v>
      </x:c>
      <x:c r="D95" t="str">
        <x:v>MATRIZ</x:v>
      </x:c>
      <x:c r="E95" s="26" t="n">
        <x:v>0</x:v>
      </x:c>
      <x:c r="F95" s="26" t="n">
        <x:v>25.18999999999997</x:v>
      </x:c>
      <x:c r="G95" s="26" t="n">
        <x:v>-25.18999999999997</x:v>
      </x:c>
      <x:c r="H95" t="str">
        <x:v>FECHAMENTO</x:v>
      </x:c>
    </x:row>
    <x:row r="96">
      <x:c r="A96" s="25" t="n">
        <x:v>45809</x:v>
      </x:c>
      <x:c r="B96" t="str">
        <x:v>3.01.03</x:v>
      </x:c>
      <x:c r="C96" t="str">
        <x:v>Receita líquida acumulada</x:v>
      </x:c>
      <x:c r="D96" t="str">
        <x:v>MATRIZ</x:v>
      </x:c>
      <x:c r="E96" s="26" t="n">
        <x:v>0</x:v>
      </x:c>
      <x:c r="F96" s="26" t="n">
        <x:v>86.49</x:v>
      </x:c>
      <x:c r="G96" s="26" t="n">
        <x:v>-86.49</x:v>
      </x:c>
      <x:c r="H96" t="str">
        <x:v>FECHAMENTO</x:v>
      </x:c>
    </x:row>
    <x:row r="97">
      <x:c r="A97" s="25" t="n">
        <x:v>45809</x:v>
      </x:c>
      <x:c r="B97" t="str">
        <x:v>4.99.01</x:v>
      </x:c>
      <x:c r="C97" t="str">
        <x:v>Custos e despesas acumulados</x:v>
      </x:c>
      <x:c r="D97" t="str">
        <x:v>MATRIZ</x:v>
      </x:c>
      <x:c r="E97" s="26" t="n">
        <x:v>81.67999999999998</x:v>
      </x:c>
      <x:c r="F97" s="26" t="n">
        <x:v>0</x:v>
      </x:c>
      <x:c r="G97" s="26" t="n">
        <x:v>81.67999999999998</x:v>
      </x:c>
      <x:c r="H97" t="str">
        <x:v>FECHAMENTO</x:v>
      </x:c>
    </x:row>
    <x:row r="98">
      <x:c r="A98" s="25" t="n">
        <x:v>45839</x:v>
      </x:c>
      <x:c r="B98" t="str">
        <x:v>1.01.01</x:v>
      </x:c>
      <x:c r="C98" t="str">
        <x:v>Caixa e equivalentes</x:v>
      </x:c>
      <x:c r="D98" t="str">
        <x:v>MATRIZ</x:v>
      </x:c>
      <x:c r="E98" s="26" t="n">
        <x:v>8.35</x:v>
      </x:c>
      <x:c r="F98" s="26" t="n">
        <x:v>0</x:v>
      </x:c>
      <x:c r="G98" s="26" t="n">
        <x:v>8.35</x:v>
      </x:c>
      <x:c r="H98" t="str">
        <x:v>FECHAMENTO</x:v>
      </x:c>
    </x:row>
    <x:row r="99">
      <x:c r="A99" s="25" t="n">
        <x:v>45839</x:v>
      </x:c>
      <x:c r="B99" t="str">
        <x:v>1.01.02</x:v>
      </x:c>
      <x:c r="C99" t="str">
        <x:v>Contas a receber</x:v>
      </x:c>
      <x:c r="D99" t="str">
        <x:v>MATRIZ</x:v>
      </x:c>
      <x:c r="E99" s="26" t="n">
        <x:v>17.125</x:v>
      </x:c>
      <x:c r="F99" s="26" t="n">
        <x:v>0</x:v>
      </x:c>
      <x:c r="G99" s="26" t="n">
        <x:v>17.125</x:v>
      </x:c>
      <x:c r="H99" t="str">
        <x:v>FECHAMENTO</x:v>
      </x:c>
    </x:row>
    <x:row r="100">
      <x:c r="A100" s="25" t="n">
        <x:v>45839</x:v>
      </x:c>
      <x:c r="B100" t="str">
        <x:v>1.01.03</x:v>
      </x:c>
      <x:c r="C100" t="str">
        <x:v>Estoques</x:v>
      </x:c>
      <x:c r="D100" t="str">
        <x:v>MATRIZ</x:v>
      </x:c>
      <x:c r="E100" s="26" t="n">
        <x:v>27.90833333333333</x:v>
      </x:c>
      <x:c r="F100" s="26" t="n">
        <x:v>0</x:v>
      </x:c>
      <x:c r="G100" s="26" t="n">
        <x:v>27.90833333333333</x:v>
      </x:c>
      <x:c r="H100" t="str">
        <x:v>FECHAMENTO</x:v>
      </x:c>
    </x:row>
    <x:row r="101">
      <x:c r="A101" s="25" t="n">
        <x:v>45839</x:v>
      </x:c>
      <x:c r="B101" t="str">
        <x:v>1.01.04</x:v>
      </x:c>
      <x:c r="C101" t="str">
        <x:v>Tributos a recuperar</x:v>
      </x:c>
      <x:c r="D101" t="str">
        <x:v>MATRIZ</x:v>
      </x:c>
      <x:c r="E101" s="26" t="n">
        <x:v>3.1166666666666667</x:v>
      </x:c>
      <x:c r="F101" s="26" t="n">
        <x:v>0</x:v>
      </x:c>
      <x:c r="G101" s="26" t="n">
        <x:v>3.1166666666666667</x:v>
      </x:c>
      <x:c r="H101" t="str">
        <x:v>FECHAMENTO</x:v>
      </x:c>
    </x:row>
    <x:row r="102">
      <x:c r="A102" s="25" t="n">
        <x:v>45839</x:v>
      </x:c>
      <x:c r="B102" t="str">
        <x:v>1.01.05</x:v>
      </x:c>
      <x:c r="C102" t="str">
        <x:v>Outros ativos circulantes</x:v>
      </x:c>
      <x:c r="D102" t="str">
        <x:v>MATRIZ</x:v>
      </x:c>
      <x:c r="E102" s="26" t="n">
        <x:v>3.816666666666667</x:v>
      </x:c>
      <x:c r="F102" s="26" t="n">
        <x:v>0</x:v>
      </x:c>
      <x:c r="G102" s="26" t="n">
        <x:v>3.816666666666667</x:v>
      </x:c>
      <x:c r="H102" t="str">
        <x:v>FECHAMENTO</x:v>
      </x:c>
    </x:row>
    <x:row r="103">
      <x:c r="A103" s="25" t="n">
        <x:v>45839</x:v>
      </x:c>
      <x:c r="B103" t="str">
        <x:v>1.02.01</x:v>
      </x:c>
      <x:c r="C103" t="str">
        <x:v>Imobilizado - custo</x:v>
      </x:c>
      <x:c r="D103" t="str">
        <x:v>MATRIZ</x:v>
      </x:c>
      <x:c r="E103" s="26" t="n">
        <x:v>78.91666666666667</x:v>
      </x:c>
      <x:c r="F103" s="26" t="n">
        <x:v>0</x:v>
      </x:c>
      <x:c r="G103" s="26" t="n">
        <x:v>78.91666666666667</x:v>
      </x:c>
      <x:c r="H103" t="str">
        <x:v>FECHAMENTO</x:v>
      </x:c>
    </x:row>
    <x:row r="104">
      <x:c r="A104" s="25" t="n">
        <x:v>45839</x:v>
      </x:c>
      <x:c r="B104" t="str">
        <x:v>1.02.02</x:v>
      </x:c>
      <x:c r="C104" t="str">
        <x:v>Depreciação acumulada</x:v>
      </x:c>
      <x:c r="D104" t="str">
        <x:v>MATRIZ</x:v>
      </x:c>
      <x:c r="E104" s="26" t="n">
        <x:v>0</x:v>
      </x:c>
      <x:c r="F104" s="26" t="n">
        <x:v>17.85833333333333</x:v>
      </x:c>
      <x:c r="G104" s="26" t="n">
        <x:v>-17.85833333333333</x:v>
      </x:c>
      <x:c r="H104" t="str">
        <x:v>FECHAMENTO</x:v>
      </x:c>
    </x:row>
    <x:row r="105">
      <x:c r="A105" s="25" t="n">
        <x:v>45839</x:v>
      </x:c>
      <x:c r="B105" t="str">
        <x:v>1.02.03</x:v>
      </x:c>
      <x:c r="C105" t="str">
        <x:v>Outros ativos não circulantes</x:v>
      </x:c>
      <x:c r="D105" t="str">
        <x:v>MATRIZ</x:v>
      </x:c>
      <x:c r="E105" s="26" t="n">
        <x:v>2.6166666666666667</x:v>
      </x:c>
      <x:c r="F105" s="26" t="n">
        <x:v>0</x:v>
      </x:c>
      <x:c r="G105" s="26" t="n">
        <x:v>2.6166666666666667</x:v>
      </x:c>
      <x:c r="H105" t="str">
        <x:v>FECHAMENTO</x:v>
      </x:c>
    </x:row>
    <x:row r="106">
      <x:c r="A106" s="25" t="n">
        <x:v>45839</x:v>
      </x:c>
      <x:c r="B106" t="str">
        <x:v>2.01.01</x:v>
      </x:c>
      <x:c r="C106" t="str">
        <x:v>Fornecedores</x:v>
      </x:c>
      <x:c r="D106" t="str">
        <x:v>MATRIZ</x:v>
      </x:c>
      <x:c r="E106" s="26" t="n">
        <x:v>0</x:v>
      </x:c>
      <x:c r="F106" s="26" t="n">
        <x:v>21.083333333333336</x:v>
      </x:c>
      <x:c r="G106" s="26" t="n">
        <x:v>-21.083333333333336</x:v>
      </x:c>
      <x:c r="H106" t="str">
        <x:v>FECHAMENTO</x:v>
      </x:c>
    </x:row>
    <x:row r="107">
      <x:c r="A107" s="25" t="n">
        <x:v>45839</x:v>
      </x:c>
      <x:c r="B107" t="str">
        <x:v>2.01.02</x:v>
      </x:c>
      <x:c r="C107" t="str">
        <x:v>Obrigações trabalhistas e fiscais</x:v>
      </x:c>
      <x:c r="D107" t="str">
        <x:v>MATRIZ</x:v>
      </x:c>
      <x:c r="E107" s="26" t="n">
        <x:v>0</x:v>
      </x:c>
      <x:c r="F107" s="26" t="n">
        <x:v>7.15</x:v>
      </x:c>
      <x:c r="G107" s="26" t="n">
        <x:v>-7.15</x:v>
      </x:c>
      <x:c r="H107" t="str">
        <x:v>FECHAMENTO</x:v>
      </x:c>
    </x:row>
    <x:row r="108">
      <x:c r="A108" s="25" t="n">
        <x:v>45839</x:v>
      </x:c>
      <x:c r="B108" t="str">
        <x:v>2.01.03</x:v>
      </x:c>
      <x:c r="C108" t="str">
        <x:v>Outros passivos</x:v>
      </x:c>
      <x:c r="D108" t="str">
        <x:v>MATRIZ</x:v>
      </x:c>
      <x:c r="E108" s="26" t="n">
        <x:v>0</x:v>
      </x:c>
      <x:c r="F108" s="26" t="n">
        <x:v>2.375</x:v>
      </x:c>
      <x:c r="G108" s="26" t="n">
        <x:v>-2.375</x:v>
      </x:c>
      <x:c r="H108" t="str">
        <x:v>FECHAMENTO</x:v>
      </x:c>
    </x:row>
    <x:row r="109">
      <x:c r="A109" s="25" t="n">
        <x:v>45839</x:v>
      </x:c>
      <x:c r="B109" t="str">
        <x:v>2.01.04</x:v>
      </x:c>
      <x:c r="C109" t="str">
        <x:v>Empréstimos e financiamentos - CP</x:v>
      </x:c>
      <x:c r="D109" t="str">
        <x:v>MATRIZ</x:v>
      </x:c>
      <x:c r="E109" s="26" t="n">
        <x:v>0</x:v>
      </x:c>
      <x:c r="F109" s="26" t="n">
        <x:v>20.166666666666668</x:v>
      </x:c>
      <x:c r="G109" s="26" t="n">
        <x:v>-20.166666666666668</x:v>
      </x:c>
      <x:c r="H109" t="str">
        <x:v>FECHAMENTO</x:v>
      </x:c>
    </x:row>
    <x:row r="110">
      <x:c r="A110" s="25" t="n">
        <x:v>45839</x:v>
      </x:c>
      <x:c r="B110" t="str">
        <x:v>2.02.01</x:v>
      </x:c>
      <x:c r="C110" t="str">
        <x:v>Empréstimos e financiamentos - LP</x:v>
      </x:c>
      <x:c r="D110" t="str">
        <x:v>MATRIZ</x:v>
      </x:c>
      <x:c r="E110" s="26" t="n">
        <x:v>0</x:v>
      </x:c>
      <x:c r="F110" s="26" t="n">
        <x:v>42.75</x:v>
      </x:c>
      <x:c r="G110" s="26" t="n">
        <x:v>-42.75</x:v>
      </x:c>
      <x:c r="H110" t="str">
        <x:v>FECHAMENTO</x:v>
      </x:c>
    </x:row>
    <x:row r="111">
      <x:c r="A111" s="25" t="n">
        <x:v>45839</x:v>
      </x:c>
      <x:c r="B111" t="str">
        <x:v>2.03.01</x:v>
      </x:c>
      <x:c r="C111" t="str">
        <x:v>Capital e reservas / lucros acumulados</x:v>
      </x:c>
      <x:c r="D111" t="str">
        <x:v>MATRIZ</x:v>
      </x:c>
      <x:c r="E111" s="26" t="n">
        <x:v>0</x:v>
      </x:c>
      <x:c r="F111" s="26" t="n">
        <x:v>24.751666666666694</x:v>
      </x:c>
      <x:c r="G111" s="26" t="n">
        <x:v>-24.751666666666694</x:v>
      </x:c>
      <x:c r="H111" t="str">
        <x:v>FECHAMENTO</x:v>
      </x:c>
    </x:row>
    <x:row r="112">
      <x:c r="A112" s="25" t="n">
        <x:v>45839</x:v>
      </x:c>
      <x:c r="B112" t="str">
        <x:v>3.01.03</x:v>
      </x:c>
      <x:c r="C112" t="str">
        <x:v>Receita líquida acumulada</x:v>
      </x:c>
      <x:c r="D112" t="str">
        <x:v>MATRIZ</x:v>
      </x:c>
      <x:c r="E112" s="26" t="n">
        <x:v>0</x:v>
      </x:c>
      <x:c r="F112" s="26" t="n">
        <x:v>101.74199999999999</x:v>
      </x:c>
      <x:c r="G112" s="26" t="n">
        <x:v>-101.74199999999999</x:v>
      </x:c>
      <x:c r="H112" t="str">
        <x:v>FECHAMENTO</x:v>
      </x:c>
    </x:row>
    <x:row r="113">
      <x:c r="A113" s="25" t="n">
        <x:v>45839</x:v>
      </x:c>
      <x:c r="B113" t="str">
        <x:v>4.99.01</x:v>
      </x:c>
      <x:c r="C113" t="str">
        <x:v>Custos e despesas acumulados</x:v>
      </x:c>
      <x:c r="D113" t="str">
        <x:v>MATRIZ</x:v>
      </x:c>
      <x:c r="E113" s="26" t="n">
        <x:v>96.02699999999999</x:v>
      </x:c>
      <x:c r="F113" s="26" t="n">
        <x:v>0</x:v>
      </x:c>
      <x:c r="G113" s="26" t="n">
        <x:v>96.02699999999999</x:v>
      </x:c>
      <x:c r="H113" t="str">
        <x:v>FECHAMENTO</x:v>
      </x:c>
    </x:row>
    <x:row r="114">
      <x:c r="A114" s="25" t="n">
        <x:v>45870</x:v>
      </x:c>
      <x:c r="B114" t="str">
        <x:v>1.01.01</x:v>
      </x:c>
      <x:c r="C114" t="str">
        <x:v>Caixa e equivalentes</x:v>
      </x:c>
      <x:c r="D114" t="str">
        <x:v>MATRIZ</x:v>
      </x:c>
      <x:c r="E114" s="26" t="n">
        <x:v>8.4</x:v>
      </x:c>
      <x:c r="F114" s="26" t="n">
        <x:v>0</x:v>
      </x:c>
      <x:c r="G114" s="26" t="n">
        <x:v>8.4</x:v>
      </x:c>
      <x:c r="H114" t="str">
        <x:v>FECHAMENTO</x:v>
      </x:c>
    </x:row>
    <x:row r="115">
      <x:c r="A115" s="25" t="n">
        <x:v>45870</x:v>
      </x:c>
      <x:c r="B115" t="str">
        <x:v>1.01.02</x:v>
      </x:c>
      <x:c r="C115" t="str">
        <x:v>Contas a receber</x:v>
      </x:c>
      <x:c r="D115" t="str">
        <x:v>MATRIZ</x:v>
      </x:c>
      <x:c r="E115" s="26" t="n">
        <x:v>17.3</x:v>
      </x:c>
      <x:c r="F115" s="26" t="n">
        <x:v>0</x:v>
      </x:c>
      <x:c r="G115" s="26" t="n">
        <x:v>17.3</x:v>
      </x:c>
      <x:c r="H115" t="str">
        <x:v>FECHAMENTO</x:v>
      </x:c>
    </x:row>
    <x:row r="116">
      <x:c r="A116" s="25" t="n">
        <x:v>45870</x:v>
      </x:c>
      <x:c r="B116" t="str">
        <x:v>1.01.03</x:v>
      </x:c>
      <x:c r="C116" t="str">
        <x:v>Estoques</x:v>
      </x:c>
      <x:c r="D116" t="str">
        <x:v>MATRIZ</x:v>
      </x:c>
      <x:c r="E116" s="26" t="n">
        <x:v>28.266666666666666</x:v>
      </x:c>
      <x:c r="F116" s="26" t="n">
        <x:v>0</x:v>
      </x:c>
      <x:c r="G116" s="26" t="n">
        <x:v>28.266666666666666</x:v>
      </x:c>
      <x:c r="H116" t="str">
        <x:v>FECHAMENTO</x:v>
      </x:c>
    </x:row>
    <x:row r="117">
      <x:c r="A117" s="25" t="n">
        <x:v>45870</x:v>
      </x:c>
      <x:c r="B117" t="str">
        <x:v>1.01.04</x:v>
      </x:c>
      <x:c r="C117" t="str">
        <x:v>Tributos a recuperar</x:v>
      </x:c>
      <x:c r="D117" t="str">
        <x:v>MATRIZ</x:v>
      </x:c>
      <x:c r="E117" s="26" t="n">
        <x:v>3.1333333333333333</x:v>
      </x:c>
      <x:c r="F117" s="26" t="n">
        <x:v>0</x:v>
      </x:c>
      <x:c r="G117" s="26" t="n">
        <x:v>3.1333333333333333</x:v>
      </x:c>
      <x:c r="H117" t="str">
        <x:v>FECHAMENTO</x:v>
      </x:c>
    </x:row>
    <x:row r="118">
      <x:c r="A118" s="25" t="n">
        <x:v>45870</x:v>
      </x:c>
      <x:c r="B118" t="str">
        <x:v>1.01.05</x:v>
      </x:c>
      <x:c r="C118" t="str">
        <x:v>Outros ativos circulantes</x:v>
      </x:c>
      <x:c r="D118" t="str">
        <x:v>MATRIZ</x:v>
      </x:c>
      <x:c r="E118" s="26" t="n">
        <x:v>3.8333333333333335</x:v>
      </x:c>
      <x:c r="F118" s="26" t="n">
        <x:v>0</x:v>
      </x:c>
      <x:c r="G118" s="26" t="n">
        <x:v>3.8333333333333335</x:v>
      </x:c>
      <x:c r="H118" t="str">
        <x:v>FECHAMENTO</x:v>
      </x:c>
    </x:row>
    <x:row r="119">
      <x:c r="A119" s="25" t="n">
        <x:v>45870</x:v>
      </x:c>
      <x:c r="B119" t="str">
        <x:v>1.02.01</x:v>
      </x:c>
      <x:c r="C119" t="str">
        <x:v>Imobilizado - custo</x:v>
      </x:c>
      <x:c r="D119" t="str">
        <x:v>MATRIZ</x:v>
      </x:c>
      <x:c r="E119" s="26" t="n">
        <x:v>79.73333333333333</x:v>
      </x:c>
      <x:c r="F119" s="26" t="n">
        <x:v>0</x:v>
      </x:c>
      <x:c r="G119" s="26" t="n">
        <x:v>79.73333333333333</x:v>
      </x:c>
      <x:c r="H119" t="str">
        <x:v>FECHAMENTO</x:v>
      </x:c>
    </x:row>
    <x:row r="120">
      <x:c r="A120" s="25" t="n">
        <x:v>45870</x:v>
      </x:c>
      <x:c r="B120" t="str">
        <x:v>1.02.02</x:v>
      </x:c>
      <x:c r="C120" t="str">
        <x:v>Depreciação acumulada</x:v>
      </x:c>
      <x:c r="D120" t="str">
        <x:v>MATRIZ</x:v>
      </x:c>
      <x:c r="E120" s="26" t="n">
        <x:v>0</x:v>
      </x:c>
      <x:c r="F120" s="26" t="n">
        <x:v>18.066666666666666</x:v>
      </x:c>
      <x:c r="G120" s="26" t="n">
        <x:v>-18.066666666666666</x:v>
      </x:c>
      <x:c r="H120" t="str">
        <x:v>FECHAMENTO</x:v>
      </x:c>
    </x:row>
    <x:row r="121">
      <x:c r="A121" s="25" t="n">
        <x:v>45870</x:v>
      </x:c>
      <x:c r="B121" t="str">
        <x:v>1.02.03</x:v>
      </x:c>
      <x:c r="C121" t="str">
        <x:v>Outros ativos não circulantes</x:v>
      </x:c>
      <x:c r="D121" t="str">
        <x:v>MATRIZ</x:v>
      </x:c>
      <x:c r="E121" s="26" t="n">
        <x:v>2.6333333333333333</x:v>
      </x:c>
      <x:c r="F121" s="26" t="n">
        <x:v>0</x:v>
      </x:c>
      <x:c r="G121" s="26" t="n">
        <x:v>2.6333333333333333</x:v>
      </x:c>
      <x:c r="H121" t="str">
        <x:v>FECHAMENTO</x:v>
      </x:c>
    </x:row>
    <x:row r="122">
      <x:c r="A122" s="25" t="n">
        <x:v>45870</x:v>
      </x:c>
      <x:c r="B122" t="str">
        <x:v>2.01.01</x:v>
      </x:c>
      <x:c r="C122" t="str">
        <x:v>Fornecedores</x:v>
      </x:c>
      <x:c r="D122" t="str">
        <x:v>MATRIZ</x:v>
      </x:c>
      <x:c r="E122" s="26" t="n">
        <x:v>0</x:v>
      </x:c>
      <x:c r="F122" s="26" t="n">
        <x:v>21.366666666666667</x:v>
      </x:c>
      <x:c r="G122" s="26" t="n">
        <x:v>-21.366666666666667</x:v>
      </x:c>
      <x:c r="H122" t="str">
        <x:v>FECHAMENTO</x:v>
      </x:c>
    </x:row>
    <x:row r="123">
      <x:c r="A123" s="25" t="n">
        <x:v>45870</x:v>
      </x:c>
      <x:c r="B123" t="str">
        <x:v>2.01.02</x:v>
      </x:c>
      <x:c r="C123" t="str">
        <x:v>Obrigações trabalhistas e fiscais</x:v>
      </x:c>
      <x:c r="D123" t="str">
        <x:v>MATRIZ</x:v>
      </x:c>
      <x:c r="E123" s="26" t="n">
        <x:v>0</x:v>
      </x:c>
      <x:c r="F123" s="26" t="n">
        <x:v>7.2</x:v>
      </x:c>
      <x:c r="G123" s="26" t="n">
        <x:v>-7.2</x:v>
      </x:c>
      <x:c r="H123" t="str">
        <x:v>FECHAMENTO</x:v>
      </x:c>
    </x:row>
    <x:row r="124">
      <x:c r="A124" s="25" t="n">
        <x:v>45870</x:v>
      </x:c>
      <x:c r="B124" t="str">
        <x:v>2.01.03</x:v>
      </x:c>
      <x:c r="C124" t="str">
        <x:v>Outros passivos</x:v>
      </x:c>
      <x:c r="D124" t="str">
        <x:v>MATRIZ</x:v>
      </x:c>
      <x:c r="E124" s="26" t="n">
        <x:v>0</x:v>
      </x:c>
      <x:c r="F124" s="26" t="n">
        <x:v>2.4</x:v>
      </x:c>
      <x:c r="G124" s="26" t="n">
        <x:v>-2.4</x:v>
      </x:c>
      <x:c r="H124" t="str">
        <x:v>FECHAMENTO</x:v>
      </x:c>
    </x:row>
    <x:row r="125">
      <x:c r="A125" s="25" t="n">
        <x:v>45870</x:v>
      </x:c>
      <x:c r="B125" t="str">
        <x:v>2.01.04</x:v>
      </x:c>
      <x:c r="C125" t="str">
        <x:v>Empréstimos e financiamentos - CP</x:v>
      </x:c>
      <x:c r="D125" t="str">
        <x:v>MATRIZ</x:v>
      </x:c>
      <x:c r="E125" s="26" t="n">
        <x:v>0</x:v>
      </x:c>
      <x:c r="F125" s="26" t="n">
        <x:v>20.333333333333332</x:v>
      </x:c>
      <x:c r="G125" s="26" t="n">
        <x:v>-20.333333333333332</x:v>
      </x:c>
      <x:c r="H125" t="str">
        <x:v>FECHAMENTO</x:v>
      </x:c>
    </x:row>
    <x:row r="126">
      <x:c r="A126" s="25" t="n">
        <x:v>45870</x:v>
      </x:c>
      <x:c r="B126" t="str">
        <x:v>2.02.01</x:v>
      </x:c>
      <x:c r="C126" t="str">
        <x:v>Empréstimos e financiamentos - LP</x:v>
      </x:c>
      <x:c r="D126" t="str">
        <x:v>MATRIZ</x:v>
      </x:c>
      <x:c r="E126" s="26" t="n">
        <x:v>0</x:v>
      </x:c>
      <x:c r="F126" s="26" t="n">
        <x:v>43</x:v>
      </x:c>
      <x:c r="G126" s="26" t="n">
        <x:v>-43</x:v>
      </x:c>
      <x:c r="H126" t="str">
        <x:v>FECHAMENTO</x:v>
      </x:c>
    </x:row>
    <x:row r="127">
      <x:c r="A127" s="25" t="n">
        <x:v>45870</x:v>
      </x:c>
      <x:c r="B127" t="str">
        <x:v>2.03.01</x:v>
      </x:c>
      <x:c r="C127" t="str">
        <x:v>Capital e reservas / lucros acumulados</x:v>
      </x:c>
      <x:c r="D127" t="str">
        <x:v>MATRIZ</x:v>
      </x:c>
      <x:c r="E127" s="26" t="n">
        <x:v>0</x:v>
      </x:c>
      <x:c r="F127" s="26" t="n">
        <x:v>24.285333333333313</x:v>
      </x:c>
      <x:c r="G127" s="26" t="n">
        <x:v>-24.285333333333313</x:v>
      </x:c>
      <x:c r="H127" t="str">
        <x:v>FECHAMENTO</x:v>
      </x:c>
    </x:row>
    <x:row r="128">
      <x:c r="A128" s="25" t="n">
        <x:v>45870</x:v>
      </x:c>
      <x:c r="B128" t="str">
        <x:v>3.01.03</x:v>
      </x:c>
      <x:c r="C128" t="str">
        <x:v>Receita líquida acumulada</x:v>
      </x:c>
      <x:c r="D128" t="str">
        <x:v>MATRIZ</x:v>
      </x:c>
      <x:c r="E128" s="26" t="n">
        <x:v>0</x:v>
      </x:c>
      <x:c r="F128" s="26" t="n">
        <x:v>117.17999999999999</x:v>
      </x:c>
      <x:c r="G128" s="26" t="n">
        <x:v>-117.17999999999999</x:v>
      </x:c>
      <x:c r="H128" t="str">
        <x:v>FECHAMENTO</x:v>
      </x:c>
    </x:row>
    <x:row r="129">
      <x:c r="A129" s="25" t="n">
        <x:v>45870</x:v>
      </x:c>
      <x:c r="B129" t="str">
        <x:v>4.99.01</x:v>
      </x:c>
      <x:c r="C129" t="str">
        <x:v>Custos e despesas acumulados</x:v>
      </x:c>
      <x:c r="D129" t="str">
        <x:v>MATRIZ</x:v>
      </x:c>
      <x:c r="E129" s="26" t="n">
        <x:v>110.53199999999998</x:v>
      </x:c>
      <x:c r="F129" s="26" t="n">
        <x:v>0</x:v>
      </x:c>
      <x:c r="G129" s="26" t="n">
        <x:v>110.53199999999998</x:v>
      </x:c>
      <x:c r="H129" t="str">
        <x:v>FECHAMENTO</x:v>
      </x:c>
    </x:row>
    <x:row r="130">
      <x:c r="A130" s="25" t="n">
        <x:v>45901</x:v>
      </x:c>
      <x:c r="B130" t="str">
        <x:v>1.01.01</x:v>
      </x:c>
      <x:c r="C130" t="str">
        <x:v>Caixa e equivalentes</x:v>
      </x:c>
      <x:c r="D130" t="str">
        <x:v>MATRIZ</x:v>
      </x:c>
      <x:c r="E130" s="26" t="n">
        <x:v>8.45</x:v>
      </x:c>
      <x:c r="F130" s="26" t="n">
        <x:v>0</x:v>
      </x:c>
      <x:c r="G130" s="26" t="n">
        <x:v>8.45</x:v>
      </x:c>
      <x:c r="H130" t="str">
        <x:v>FECHAMENTO</x:v>
      </x:c>
    </x:row>
    <x:row r="131">
      <x:c r="A131" s="25" t="n">
        <x:v>45901</x:v>
      </x:c>
      <x:c r="B131" t="str">
        <x:v>1.01.02</x:v>
      </x:c>
      <x:c r="C131" t="str">
        <x:v>Contas a receber</x:v>
      </x:c>
      <x:c r="D131" t="str">
        <x:v>MATRIZ</x:v>
      </x:c>
      <x:c r="E131" s="26" t="n">
        <x:v>17.475</x:v>
      </x:c>
      <x:c r="F131" s="26" t="n">
        <x:v>0</x:v>
      </x:c>
      <x:c r="G131" s="26" t="n">
        <x:v>17.475</x:v>
      </x:c>
      <x:c r="H131" t="str">
        <x:v>FECHAMENTO</x:v>
      </x:c>
    </x:row>
    <x:row r="132">
      <x:c r="A132" s="25" t="n">
        <x:v>45901</x:v>
      </x:c>
      <x:c r="B132" t="str">
        <x:v>1.01.03</x:v>
      </x:c>
      <x:c r="C132" t="str">
        <x:v>Estoques</x:v>
      </x:c>
      <x:c r="D132" t="str">
        <x:v>MATRIZ</x:v>
      </x:c>
      <x:c r="E132" s="26" t="n">
        <x:v>28.625</x:v>
      </x:c>
      <x:c r="F132" s="26" t="n">
        <x:v>0</x:v>
      </x:c>
      <x:c r="G132" s="26" t="n">
        <x:v>28.625</x:v>
      </x:c>
      <x:c r="H132" t="str">
        <x:v>FECHAMENTO</x:v>
      </x:c>
    </x:row>
    <x:row r="133">
      <x:c r="A133" s="25" t="n">
        <x:v>45901</x:v>
      </x:c>
      <x:c r="B133" t="str">
        <x:v>1.01.04</x:v>
      </x:c>
      <x:c r="C133" t="str">
        <x:v>Tributos a recuperar</x:v>
      </x:c>
      <x:c r="D133" t="str">
        <x:v>MATRIZ</x:v>
      </x:c>
      <x:c r="E133" s="26" t="n">
        <x:v>3.1500000000000004</x:v>
      </x:c>
      <x:c r="F133" s="26" t="n">
        <x:v>0</x:v>
      </x:c>
      <x:c r="G133" s="26" t="n">
        <x:v>3.1500000000000004</x:v>
      </x:c>
      <x:c r="H133" t="str">
        <x:v>FECHAMENTO</x:v>
      </x:c>
    </x:row>
    <x:row r="134">
      <x:c r="A134" s="25" t="n">
        <x:v>45901</x:v>
      </x:c>
      <x:c r="B134" t="str">
        <x:v>1.01.05</x:v>
      </x:c>
      <x:c r="C134" t="str">
        <x:v>Outros ativos circulantes</x:v>
      </x:c>
      <x:c r="D134" t="str">
        <x:v>MATRIZ</x:v>
      </x:c>
      <x:c r="E134" s="26" t="n">
        <x:v>3.85</x:v>
      </x:c>
      <x:c r="F134" s="26" t="n">
        <x:v>0</x:v>
      </x:c>
      <x:c r="G134" s="26" t="n">
        <x:v>3.85</x:v>
      </x:c>
      <x:c r="H134" t="str">
        <x:v>FECHAMENTO</x:v>
      </x:c>
    </x:row>
    <x:row r="135">
      <x:c r="A135" s="25" t="n">
        <x:v>45901</x:v>
      </x:c>
      <x:c r="B135" t="str">
        <x:v>1.02.01</x:v>
      </x:c>
      <x:c r="C135" t="str">
        <x:v>Imobilizado - custo</x:v>
      </x:c>
      <x:c r="D135" t="str">
        <x:v>MATRIZ</x:v>
      </x:c>
      <x:c r="E135" s="26" t="n">
        <x:v>80.55</x:v>
      </x:c>
      <x:c r="F135" s="26" t="n">
        <x:v>0</x:v>
      </x:c>
      <x:c r="G135" s="26" t="n">
        <x:v>80.55</x:v>
      </x:c>
      <x:c r="H135" t="str">
        <x:v>FECHAMENTO</x:v>
      </x:c>
    </x:row>
    <x:row r="136">
      <x:c r="A136" s="25" t="n">
        <x:v>45901</x:v>
      </x:c>
      <x:c r="B136" t="str">
        <x:v>1.02.02</x:v>
      </x:c>
      <x:c r="C136" t="str">
        <x:v>Depreciação acumulada</x:v>
      </x:c>
      <x:c r="D136" t="str">
        <x:v>MATRIZ</x:v>
      </x:c>
      <x:c r="E136" s="26" t="n">
        <x:v>0</x:v>
      </x:c>
      <x:c r="F136" s="26" t="n">
        <x:v>18.275</x:v>
      </x:c>
      <x:c r="G136" s="26" t="n">
        <x:v>-18.275</x:v>
      </x:c>
      <x:c r="H136" t="str">
        <x:v>FECHAMENTO</x:v>
      </x:c>
    </x:row>
    <x:row r="137">
      <x:c r="A137" s="25" t="n">
        <x:v>45901</x:v>
      </x:c>
      <x:c r="B137" t="str">
        <x:v>1.02.03</x:v>
      </x:c>
      <x:c r="C137" t="str">
        <x:v>Outros ativos não circulantes</x:v>
      </x:c>
      <x:c r="D137" t="str">
        <x:v>MATRIZ</x:v>
      </x:c>
      <x:c r="E137" s="26" t="n">
        <x:v>2.6500000000000004</x:v>
      </x:c>
      <x:c r="F137" s="26" t="n">
        <x:v>0</x:v>
      </x:c>
      <x:c r="G137" s="26" t="n">
        <x:v>2.6500000000000004</x:v>
      </x:c>
      <x:c r="H137" t="str">
        <x:v>FECHAMENTO</x:v>
      </x:c>
    </x:row>
    <x:row r="138">
      <x:c r="A138" s="25" t="n">
        <x:v>45901</x:v>
      </x:c>
      <x:c r="B138" t="str">
        <x:v>2.01.01</x:v>
      </x:c>
      <x:c r="C138" t="str">
        <x:v>Fornecedores</x:v>
      </x:c>
      <x:c r="D138" t="str">
        <x:v>MATRIZ</x:v>
      </x:c>
      <x:c r="E138" s="26" t="n">
        <x:v>0</x:v>
      </x:c>
      <x:c r="F138" s="26" t="n">
        <x:v>21.65</x:v>
      </x:c>
      <x:c r="G138" s="26" t="n">
        <x:v>-21.65</x:v>
      </x:c>
      <x:c r="H138" t="str">
        <x:v>FECHAMENTO</x:v>
      </x:c>
    </x:row>
    <x:row r="139">
      <x:c r="A139" s="25" t="n">
        <x:v>45901</x:v>
      </x:c>
      <x:c r="B139" t="str">
        <x:v>2.01.02</x:v>
      </x:c>
      <x:c r="C139" t="str">
        <x:v>Obrigações trabalhistas e fiscais</x:v>
      </x:c>
      <x:c r="D139" t="str">
        <x:v>MATRIZ</x:v>
      </x:c>
      <x:c r="E139" s="26" t="n">
        <x:v>0</x:v>
      </x:c>
      <x:c r="F139" s="26" t="n">
        <x:v>7.25</x:v>
      </x:c>
      <x:c r="G139" s="26" t="n">
        <x:v>-7.25</x:v>
      </x:c>
      <x:c r="H139" t="str">
        <x:v>FECHAMENTO</x:v>
      </x:c>
    </x:row>
    <x:row r="140">
      <x:c r="A140" s="25" t="n">
        <x:v>45901</x:v>
      </x:c>
      <x:c r="B140" t="str">
        <x:v>2.01.03</x:v>
      </x:c>
      <x:c r="C140" t="str">
        <x:v>Outros passivos</x:v>
      </x:c>
      <x:c r="D140" t="str">
        <x:v>MATRIZ</x:v>
      </x:c>
      <x:c r="E140" s="26" t="n">
        <x:v>0</x:v>
      </x:c>
      <x:c r="F140" s="26" t="n">
        <x:v>2.425</x:v>
      </x:c>
      <x:c r="G140" s="26" t="n">
        <x:v>-2.425</x:v>
      </x:c>
      <x:c r="H140" t="str">
        <x:v>FECHAMENTO</x:v>
      </x:c>
    </x:row>
    <x:row r="141">
      <x:c r="A141" s="25" t="n">
        <x:v>45901</x:v>
      </x:c>
      <x:c r="B141" t="str">
        <x:v>2.01.04</x:v>
      </x:c>
      <x:c r="C141" t="str">
        <x:v>Empréstimos e financiamentos - CP</x:v>
      </x:c>
      <x:c r="D141" t="str">
        <x:v>MATRIZ</x:v>
      </x:c>
      <x:c r="E141" s="26" t="n">
        <x:v>0</x:v>
      </x:c>
      <x:c r="F141" s="26" t="n">
        <x:v>20.5</x:v>
      </x:c>
      <x:c r="G141" s="26" t="n">
        <x:v>-20.5</x:v>
      </x:c>
      <x:c r="H141" t="str">
        <x:v>FECHAMENTO</x:v>
      </x:c>
    </x:row>
    <x:row r="142">
      <x:c r="A142" s="25" t="n">
        <x:v>45901</x:v>
      </x:c>
      <x:c r="B142" t="str">
        <x:v>2.02.01</x:v>
      </x:c>
      <x:c r="C142" t="str">
        <x:v>Empréstimos e financiamentos - LP</x:v>
      </x:c>
      <x:c r="D142" t="str">
        <x:v>MATRIZ</x:v>
      </x:c>
      <x:c r="E142" s="26" t="n">
        <x:v>0</x:v>
      </x:c>
      <x:c r="F142" s="26" t="n">
        <x:v>43.25</x:v>
      </x:c>
      <x:c r="G142" s="26" t="n">
        <x:v>-43.25</x:v>
      </x:c>
      <x:c r="H142" t="str">
        <x:v>FECHAMENTO</x:v>
      </x:c>
    </x:row>
    <x:row r="143">
      <x:c r="A143" s="25" t="n">
        <x:v>45901</x:v>
      </x:c>
      <x:c r="B143" t="str">
        <x:v>2.03.01</x:v>
      </x:c>
      <x:c r="C143" t="str">
        <x:v>Capital e reservas / lucros acumulados</x:v>
      </x:c>
      <x:c r="D143" t="str">
        <x:v>MATRIZ</x:v>
      </x:c>
      <x:c r="E143" s="26" t="n">
        <x:v>0</x:v>
      </x:c>
      <x:c r="F143" s="26" t="n">
        <x:v>23.789999999999964</x:v>
      </x:c>
      <x:c r="G143" s="26" t="n">
        <x:v>-23.789999999999964</x:v>
      </x:c>
      <x:c r="H143" t="str">
        <x:v>FECHAMENTO</x:v>
      </x:c>
    </x:row>
    <x:row r="144">
      <x:c r="A144" s="25" t="n">
        <x:v>45901</x:v>
      </x:c>
      <x:c r="B144" t="str">
        <x:v>3.01.03</x:v>
      </x:c>
      <x:c r="C144" t="str">
        <x:v>Receita líquida acumulada</x:v>
      </x:c>
      <x:c r="D144" t="str">
        <x:v>MATRIZ</x:v>
      </x:c>
      <x:c r="E144" s="26" t="n">
        <x:v>0</x:v>
      </x:c>
      <x:c r="F144" s="26" t="n">
        <x:v>132.804</x:v>
      </x:c>
      <x:c r="G144" s="26" t="n">
        <x:v>-132.804</x:v>
      </x:c>
      <x:c r="H144" t="str">
        <x:v>FECHAMENTO</x:v>
      </x:c>
    </x:row>
    <x:row r="145">
      <x:c r="A145" s="25" t="n">
        <x:v>45901</x:v>
      </x:c>
      <x:c r="B145" t="str">
        <x:v>4.99.01</x:v>
      </x:c>
      <x:c r="C145" t="str">
        <x:v>Custos e despesas acumulados</x:v>
      </x:c>
      <x:c r="D145" t="str">
        <x:v>MATRIZ</x:v>
      </x:c>
      <x:c r="E145" s="26" t="n">
        <x:v>125.19399999999999</x:v>
      </x:c>
      <x:c r="F145" s="26" t="n">
        <x:v>0</x:v>
      </x:c>
      <x:c r="G145" s="26" t="n">
        <x:v>125.19399999999999</x:v>
      </x:c>
      <x:c r="H145" t="str">
        <x:v>FECHAMENTO</x:v>
      </x:c>
    </x:row>
    <x:row r="146">
      <x:c r="A146" s="25" t="n">
        <x:v>45931</x:v>
      </x:c>
      <x:c r="B146" t="str">
        <x:v>1.01.01</x:v>
      </x:c>
      <x:c r="C146" t="str">
        <x:v>Caixa e equivalentes</x:v>
      </x:c>
      <x:c r="D146" t="str">
        <x:v>MATRIZ</x:v>
      </x:c>
      <x:c r="E146" s="26" t="n">
        <x:v>8.5</x:v>
      </x:c>
      <x:c r="F146" s="26" t="n">
        <x:v>0</x:v>
      </x:c>
      <x:c r="G146" s="26" t="n">
        <x:v>8.5</x:v>
      </x:c>
      <x:c r="H146" t="str">
        <x:v>FECHAMENTO</x:v>
      </x:c>
    </x:row>
    <x:row r="147">
      <x:c r="A147" s="25" t="n">
        <x:v>45931</x:v>
      </x:c>
      <x:c r="B147" t="str">
        <x:v>1.01.02</x:v>
      </x:c>
      <x:c r="C147" t="str">
        <x:v>Contas a receber</x:v>
      </x:c>
      <x:c r="D147" t="str">
        <x:v>MATRIZ</x:v>
      </x:c>
      <x:c r="E147" s="26" t="n">
        <x:v>17.65</x:v>
      </x:c>
      <x:c r="F147" s="26" t="n">
        <x:v>0</x:v>
      </x:c>
      <x:c r="G147" s="26" t="n">
        <x:v>17.65</x:v>
      </x:c>
      <x:c r="H147" t="str">
        <x:v>FECHAMENTO</x:v>
      </x:c>
    </x:row>
    <x:row r="148">
      <x:c r="A148" s="25" t="n">
        <x:v>45931</x:v>
      </x:c>
      <x:c r="B148" t="str">
        <x:v>1.01.03</x:v>
      </x:c>
      <x:c r="C148" t="str">
        <x:v>Estoques</x:v>
      </x:c>
      <x:c r="D148" t="str">
        <x:v>MATRIZ</x:v>
      </x:c>
      <x:c r="E148" s="26" t="n">
        <x:v>28.983333333333334</x:v>
      </x:c>
      <x:c r="F148" s="26" t="n">
        <x:v>0</x:v>
      </x:c>
      <x:c r="G148" s="26" t="n">
        <x:v>28.983333333333334</x:v>
      </x:c>
      <x:c r="H148" t="str">
        <x:v>FECHAMENTO</x:v>
      </x:c>
    </x:row>
    <x:row r="149">
      <x:c r="A149" s="25" t="n">
        <x:v>45931</x:v>
      </x:c>
      <x:c r="B149" t="str">
        <x:v>1.01.04</x:v>
      </x:c>
      <x:c r="C149" t="str">
        <x:v>Tributos a recuperar</x:v>
      </x:c>
      <x:c r="D149" t="str">
        <x:v>MATRIZ</x:v>
      </x:c>
      <x:c r="E149" s="26" t="n">
        <x:v>3.166666666666667</x:v>
      </x:c>
      <x:c r="F149" s="26" t="n">
        <x:v>0</x:v>
      </x:c>
      <x:c r="G149" s="26" t="n">
        <x:v>3.166666666666667</x:v>
      </x:c>
      <x:c r="H149" t="str">
        <x:v>FECHAMENTO</x:v>
      </x:c>
    </x:row>
    <x:row r="150">
      <x:c r="A150" s="25" t="n">
        <x:v>45931</x:v>
      </x:c>
      <x:c r="B150" t="str">
        <x:v>1.01.05</x:v>
      </x:c>
      <x:c r="C150" t="str">
        <x:v>Outros ativos circulantes</x:v>
      </x:c>
      <x:c r="D150" t="str">
        <x:v>MATRIZ</x:v>
      </x:c>
      <x:c r="E150" s="26" t="n">
        <x:v>3.8666666666666667</x:v>
      </x:c>
      <x:c r="F150" s="26" t="n">
        <x:v>0</x:v>
      </x:c>
      <x:c r="G150" s="26" t="n">
        <x:v>3.8666666666666667</x:v>
      </x:c>
      <x:c r="H150" t="str">
        <x:v>FECHAMENTO</x:v>
      </x:c>
    </x:row>
    <x:row r="151">
      <x:c r="A151" s="25" t="n">
        <x:v>45931</x:v>
      </x:c>
      <x:c r="B151" t="str">
        <x:v>1.02.01</x:v>
      </x:c>
      <x:c r="C151" t="str">
        <x:v>Imobilizado - custo</x:v>
      </x:c>
      <x:c r="D151" t="str">
        <x:v>MATRIZ</x:v>
      </x:c>
      <x:c r="E151" s="26" t="n">
        <x:v>81.36666666666667</x:v>
      </x:c>
      <x:c r="F151" s="26" t="n">
        <x:v>0</x:v>
      </x:c>
      <x:c r="G151" s="26" t="n">
        <x:v>81.36666666666667</x:v>
      </x:c>
      <x:c r="H151" t="str">
        <x:v>FECHAMENTO</x:v>
      </x:c>
    </x:row>
    <x:row r="152">
      <x:c r="A152" s="25" t="n">
        <x:v>45931</x:v>
      </x:c>
      <x:c r="B152" t="str">
        <x:v>1.02.02</x:v>
      </x:c>
      <x:c r="C152" t="str">
        <x:v>Depreciação acumulada</x:v>
      </x:c>
      <x:c r="D152" t="str">
        <x:v>MATRIZ</x:v>
      </x:c>
      <x:c r="E152" s="26" t="n">
        <x:v>0</x:v>
      </x:c>
      <x:c r="F152" s="26" t="n">
        <x:v>18.48333333333333</x:v>
      </x:c>
      <x:c r="G152" s="26" t="n">
        <x:v>-18.48333333333333</x:v>
      </x:c>
      <x:c r="H152" t="str">
        <x:v>FECHAMENTO</x:v>
      </x:c>
    </x:row>
    <x:row r="153">
      <x:c r="A153" s="25" t="n">
        <x:v>45931</x:v>
      </x:c>
      <x:c r="B153" t="str">
        <x:v>1.02.03</x:v>
      </x:c>
      <x:c r="C153" t="str">
        <x:v>Outros ativos não circulantes</x:v>
      </x:c>
      <x:c r="D153" t="str">
        <x:v>MATRIZ</x:v>
      </x:c>
      <x:c r="E153" s="26" t="n">
        <x:v>2.666666666666667</x:v>
      </x:c>
      <x:c r="F153" s="26" t="n">
        <x:v>0</x:v>
      </x:c>
      <x:c r="G153" s="26" t="n">
        <x:v>2.666666666666667</x:v>
      </x:c>
      <x:c r="H153" t="str">
        <x:v>FECHAMENTO</x:v>
      </x:c>
    </x:row>
    <x:row r="154">
      <x:c r="A154" s="25" t="n">
        <x:v>45931</x:v>
      </x:c>
      <x:c r="B154" t="str">
        <x:v>2.01.01</x:v>
      </x:c>
      <x:c r="C154" t="str">
        <x:v>Fornecedores</x:v>
      </x:c>
      <x:c r="D154" t="str">
        <x:v>MATRIZ</x:v>
      </x:c>
      <x:c r="E154" s="26" t="n">
        <x:v>0</x:v>
      </x:c>
      <x:c r="F154" s="26" t="n">
        <x:v>21.933333333333334</x:v>
      </x:c>
      <x:c r="G154" s="26" t="n">
        <x:v>-21.933333333333334</x:v>
      </x:c>
      <x:c r="H154" t="str">
        <x:v>FECHAMENTO</x:v>
      </x:c>
    </x:row>
    <x:row r="155">
      <x:c r="A155" s="25" t="n">
        <x:v>45931</x:v>
      </x:c>
      <x:c r="B155" t="str">
        <x:v>2.01.02</x:v>
      </x:c>
      <x:c r="C155" t="str">
        <x:v>Obrigações trabalhistas e fiscais</x:v>
      </x:c>
      <x:c r="D155" t="str">
        <x:v>MATRIZ</x:v>
      </x:c>
      <x:c r="E155" s="26" t="n">
        <x:v>0</x:v>
      </x:c>
      <x:c r="F155" s="26" t="n">
        <x:v>7.300000000000001</x:v>
      </x:c>
      <x:c r="G155" s="26" t="n">
        <x:v>-7.300000000000001</x:v>
      </x:c>
      <x:c r="H155" t="str">
        <x:v>FECHAMENTO</x:v>
      </x:c>
    </x:row>
    <x:row r="156">
      <x:c r="A156" s="25" t="n">
        <x:v>45931</x:v>
      </x:c>
      <x:c r="B156" t="str">
        <x:v>2.01.03</x:v>
      </x:c>
      <x:c r="C156" t="str">
        <x:v>Outros passivos</x:v>
      </x:c>
      <x:c r="D156" t="str">
        <x:v>MATRIZ</x:v>
      </x:c>
      <x:c r="E156" s="26" t="n">
        <x:v>0</x:v>
      </x:c>
      <x:c r="F156" s="26" t="n">
        <x:v>2.45</x:v>
      </x:c>
      <x:c r="G156" s="26" t="n">
        <x:v>-2.45</x:v>
      </x:c>
      <x:c r="H156" t="str">
        <x:v>FECHAMENTO</x:v>
      </x:c>
    </x:row>
    <x:row r="157">
      <x:c r="A157" s="25" t="n">
        <x:v>45931</x:v>
      </x:c>
      <x:c r="B157" t="str">
        <x:v>2.01.04</x:v>
      </x:c>
      <x:c r="C157" t="str">
        <x:v>Empréstimos e financiamentos - CP</x:v>
      </x:c>
      <x:c r="D157" t="str">
        <x:v>MATRIZ</x:v>
      </x:c>
      <x:c r="E157" s="26" t="n">
        <x:v>0</x:v>
      </x:c>
      <x:c r="F157" s="26" t="n">
        <x:v>20.666666666666668</x:v>
      </x:c>
      <x:c r="G157" s="26" t="n">
        <x:v>-20.666666666666668</x:v>
      </x:c>
      <x:c r="H157" t="str">
        <x:v>FECHAMENTO</x:v>
      </x:c>
    </x:row>
    <x:row r="158">
      <x:c r="A158" s="25" t="n">
        <x:v>45931</x:v>
      </x:c>
      <x:c r="B158" t="str">
        <x:v>2.02.01</x:v>
      </x:c>
      <x:c r="C158" t="str">
        <x:v>Empréstimos e financiamentos - LP</x:v>
      </x:c>
      <x:c r="D158" t="str">
        <x:v>MATRIZ</x:v>
      </x:c>
      <x:c r="E158" s="26" t="n">
        <x:v>0</x:v>
      </x:c>
      <x:c r="F158" s="26" t="n">
        <x:v>43.5</x:v>
      </x:c>
      <x:c r="G158" s="26" t="n">
        <x:v>-43.5</x:v>
      </x:c>
      <x:c r="H158" t="str">
        <x:v>FECHAMENTO</x:v>
      </x:c>
    </x:row>
    <x:row r="159">
      <x:c r="A159" s="25" t="n">
        <x:v>45931</x:v>
      </x:c>
      <x:c r="B159" t="str">
        <x:v>2.03.01</x:v>
      </x:c>
      <x:c r="C159" t="str">
        <x:v>Capital e reservas / lucros acumulados</x:v>
      </x:c>
      <x:c r="D159" t="str">
        <x:v>MATRIZ</x:v>
      </x:c>
      <x:c r="E159" s="26" t="n">
        <x:v>0</x:v>
      </x:c>
      <x:c r="F159" s="26" t="n">
        <x:v>23.255666666666684</x:v>
      </x:c>
      <x:c r="G159" s="26" t="n">
        <x:v>-23.255666666666684</x:v>
      </x:c>
      <x:c r="H159" t="str">
        <x:v>FECHAMENTO</x:v>
      </x:c>
    </x:row>
    <x:row r="160">
      <x:c r="A160" s="25" t="n">
        <x:v>45931</x:v>
      </x:c>
      <x:c r="B160" t="str">
        <x:v>3.01.03</x:v>
      </x:c>
      <x:c r="C160" t="str">
        <x:v>Receita líquida acumulada</x:v>
      </x:c>
      <x:c r="D160" t="str">
        <x:v>MATRIZ</x:v>
      </x:c>
      <x:c r="E160" s="26" t="n">
        <x:v>0</x:v>
      </x:c>
      <x:c r="F160" s="26" t="n">
        <x:v>148.8</x:v>
      </x:c>
      <x:c r="G160" s="26" t="n">
        <x:v>-148.8</x:v>
      </x:c>
      <x:c r="H160" t="str">
        <x:v>FECHAMENTO</x:v>
      </x:c>
    </x:row>
    <x:row r="161">
      <x:c r="A161" s="25" t="n">
        <x:v>45931</x:v>
      </x:c>
      <x:c r="B161" t="str">
        <x:v>4.99.01</x:v>
      </x:c>
      <x:c r="C161" t="str">
        <x:v>Custos e despesas acumulados</x:v>
      </x:c>
      <x:c r="D161" t="str">
        <x:v>MATRIZ</x:v>
      </x:c>
      <x:c r="E161" s="26" t="n">
        <x:v>140.189</x:v>
      </x:c>
      <x:c r="F161" s="26" t="n">
        <x:v>0</x:v>
      </x:c>
      <x:c r="G161" s="26" t="n">
        <x:v>140.189</x:v>
      </x:c>
      <x:c r="H161" t="str">
        <x:v>FECHAMENTO</x:v>
      </x:c>
    </x:row>
    <x:row r="162">
      <x:c r="A162" s="25" t="n">
        <x:v>45962</x:v>
      </x:c>
      <x:c r="B162" t="str">
        <x:v>1.01.01</x:v>
      </x:c>
      <x:c r="C162" t="str">
        <x:v>Caixa e equivalentes</x:v>
      </x:c>
      <x:c r="D162" t="str">
        <x:v>MATRIZ</x:v>
      </x:c>
      <x:c r="E162" s="26" t="n">
        <x:v>8.549999999999999</x:v>
      </x:c>
      <x:c r="F162" s="26" t="n">
        <x:v>0</x:v>
      </x:c>
      <x:c r="G162" s="26" t="n">
        <x:v>8.549999999999999</x:v>
      </x:c>
      <x:c r="H162" t="str">
        <x:v>FECHAMENTO</x:v>
      </x:c>
    </x:row>
    <x:row r="163">
      <x:c r="A163" s="25" t="n">
        <x:v>45962</x:v>
      </x:c>
      <x:c r="B163" t="str">
        <x:v>1.01.02</x:v>
      </x:c>
      <x:c r="C163" t="str">
        <x:v>Contas a receber</x:v>
      </x:c>
      <x:c r="D163" t="str">
        <x:v>MATRIZ</x:v>
      </x:c>
      <x:c r="E163" s="26" t="n">
        <x:v>17.825</x:v>
      </x:c>
      <x:c r="F163" s="26" t="n">
        <x:v>0</x:v>
      </x:c>
      <x:c r="G163" s="26" t="n">
        <x:v>17.825</x:v>
      </x:c>
      <x:c r="H163" t="str">
        <x:v>FECHAMENTO</x:v>
      </x:c>
    </x:row>
    <x:row r="164">
      <x:c r="A164" s="25" t="n">
        <x:v>45962</x:v>
      </x:c>
      <x:c r="B164" t="str">
        <x:v>1.01.03</x:v>
      </x:c>
      <x:c r="C164" t="str">
        <x:v>Estoques</x:v>
      </x:c>
      <x:c r="D164" t="str">
        <x:v>MATRIZ</x:v>
      </x:c>
      <x:c r="E164" s="26" t="n">
        <x:v>29.341666666666665</x:v>
      </x:c>
      <x:c r="F164" s="26" t="n">
        <x:v>0</x:v>
      </x:c>
      <x:c r="G164" s="26" t="n">
        <x:v>29.341666666666665</x:v>
      </x:c>
      <x:c r="H164" t="str">
        <x:v>FECHAMENTO</x:v>
      </x:c>
    </x:row>
    <x:row r="165">
      <x:c r="A165" s="25" t="n">
        <x:v>45962</x:v>
      </x:c>
      <x:c r="B165" t="str">
        <x:v>1.01.04</x:v>
      </x:c>
      <x:c r="C165" t="str">
        <x:v>Tributos a recuperar</x:v>
      </x:c>
      <x:c r="D165" t="str">
        <x:v>MATRIZ</x:v>
      </x:c>
      <x:c r="E165" s="26" t="n">
        <x:v>3.1833333333333336</x:v>
      </x:c>
      <x:c r="F165" s="26" t="n">
        <x:v>0</x:v>
      </x:c>
      <x:c r="G165" s="26" t="n">
        <x:v>3.1833333333333336</x:v>
      </x:c>
      <x:c r="H165" t="str">
        <x:v>FECHAMENTO</x:v>
      </x:c>
    </x:row>
    <x:row r="166">
      <x:c r="A166" s="25" t="n">
        <x:v>45962</x:v>
      </x:c>
      <x:c r="B166" t="str">
        <x:v>1.01.05</x:v>
      </x:c>
      <x:c r="C166" t="str">
        <x:v>Outros ativos circulantes</x:v>
      </x:c>
      <x:c r="D166" t="str">
        <x:v>MATRIZ</x:v>
      </x:c>
      <x:c r="E166" s="26" t="n">
        <x:v>3.8833333333333333</x:v>
      </x:c>
      <x:c r="F166" s="26" t="n">
        <x:v>0</x:v>
      </x:c>
      <x:c r="G166" s="26" t="n">
        <x:v>3.8833333333333333</x:v>
      </x:c>
      <x:c r="H166" t="str">
        <x:v>FECHAMENTO</x:v>
      </x:c>
    </x:row>
    <x:row r="167">
      <x:c r="A167" s="25" t="n">
        <x:v>45962</x:v>
      </x:c>
      <x:c r="B167" t="str">
        <x:v>1.02.01</x:v>
      </x:c>
      <x:c r="C167" t="str">
        <x:v>Imobilizado - custo</x:v>
      </x:c>
      <x:c r="D167" t="str">
        <x:v>MATRIZ</x:v>
      </x:c>
      <x:c r="E167" s="26" t="n">
        <x:v>82.18333333333334</x:v>
      </x:c>
      <x:c r="F167" s="26" t="n">
        <x:v>0</x:v>
      </x:c>
      <x:c r="G167" s="26" t="n">
        <x:v>82.18333333333334</x:v>
      </x:c>
      <x:c r="H167" t="str">
        <x:v>FECHAMENTO</x:v>
      </x:c>
    </x:row>
    <x:row r="168">
      <x:c r="A168" s="25" t="n">
        <x:v>45962</x:v>
      </x:c>
      <x:c r="B168" t="str">
        <x:v>1.02.02</x:v>
      </x:c>
      <x:c r="C168" t="str">
        <x:v>Depreciação acumulada</x:v>
      </x:c>
      <x:c r="D168" t="str">
        <x:v>MATRIZ</x:v>
      </x:c>
      <x:c r="E168" s="26" t="n">
        <x:v>0</x:v>
      </x:c>
      <x:c r="F168" s="26" t="n">
        <x:v>18.691666666666666</x:v>
      </x:c>
      <x:c r="G168" s="26" t="n">
        <x:v>-18.691666666666666</x:v>
      </x:c>
      <x:c r="H168" t="str">
        <x:v>FECHAMENTO</x:v>
      </x:c>
    </x:row>
    <x:row r="169">
      <x:c r="A169" s="25" t="n">
        <x:v>45962</x:v>
      </x:c>
      <x:c r="B169" t="str">
        <x:v>1.02.03</x:v>
      </x:c>
      <x:c r="C169" t="str">
        <x:v>Outros ativos não circulantes</x:v>
      </x:c>
      <x:c r="D169" t="str">
        <x:v>MATRIZ</x:v>
      </x:c>
      <x:c r="E169" s="26" t="n">
        <x:v>2.6833333333333336</x:v>
      </x:c>
      <x:c r="F169" s="26" t="n">
        <x:v>0</x:v>
      </x:c>
      <x:c r="G169" s="26" t="n">
        <x:v>2.6833333333333336</x:v>
      </x:c>
      <x:c r="H169" t="str">
        <x:v>FECHAMENTO</x:v>
      </x:c>
    </x:row>
    <x:row r="170">
      <x:c r="A170" s="25" t="n">
        <x:v>45962</x:v>
      </x:c>
      <x:c r="B170" t="str">
        <x:v>2.01.01</x:v>
      </x:c>
      <x:c r="C170" t="str">
        <x:v>Fornecedores</x:v>
      </x:c>
      <x:c r="D170" t="str">
        <x:v>MATRIZ</x:v>
      </x:c>
      <x:c r="E170" s="26" t="n">
        <x:v>0</x:v>
      </x:c>
      <x:c r="F170" s="26" t="n">
        <x:v>22.21666666666667</x:v>
      </x:c>
      <x:c r="G170" s="26" t="n">
        <x:v>-22.21666666666667</x:v>
      </x:c>
      <x:c r="H170" t="str">
        <x:v>FECHAMENTO</x:v>
      </x:c>
    </x:row>
    <x:row r="171">
      <x:c r="A171" s="25" t="n">
        <x:v>45962</x:v>
      </x:c>
      <x:c r="B171" t="str">
        <x:v>2.01.02</x:v>
      </x:c>
      <x:c r="C171" t="str">
        <x:v>Obrigações trabalhistas e fiscais</x:v>
      </x:c>
      <x:c r="D171" t="str">
        <x:v>MATRIZ</x:v>
      </x:c>
      <x:c r="E171" s="26" t="n">
        <x:v>0</x:v>
      </x:c>
      <x:c r="F171" s="26" t="n">
        <x:v>7.3500000000000005</x:v>
      </x:c>
      <x:c r="G171" s="26" t="n">
        <x:v>-7.3500000000000005</x:v>
      </x:c>
      <x:c r="H171" t="str">
        <x:v>FECHAMENTO</x:v>
      </x:c>
    </x:row>
    <x:row r="172">
      <x:c r="A172" s="25" t="n">
        <x:v>45962</x:v>
      </x:c>
      <x:c r="B172" t="str">
        <x:v>2.01.03</x:v>
      </x:c>
      <x:c r="C172" t="str">
        <x:v>Outros passivos</x:v>
      </x:c>
      <x:c r="D172" t="str">
        <x:v>MATRIZ</x:v>
      </x:c>
      <x:c r="E172" s="26" t="n">
        <x:v>0</x:v>
      </x:c>
      <x:c r="F172" s="26" t="n">
        <x:v>2.475</x:v>
      </x:c>
      <x:c r="G172" s="26" t="n">
        <x:v>-2.475</x:v>
      </x:c>
      <x:c r="H172" t="str">
        <x:v>FECHAMENTO</x:v>
      </x:c>
    </x:row>
    <x:row r="173">
      <x:c r="A173" s="25" t="n">
        <x:v>45962</x:v>
      </x:c>
      <x:c r="B173" t="str">
        <x:v>2.01.04</x:v>
      </x:c>
      <x:c r="C173" t="str">
        <x:v>Empréstimos e financiamentos - CP</x:v>
      </x:c>
      <x:c r="D173" t="str">
        <x:v>MATRIZ</x:v>
      </x:c>
      <x:c r="E173" s="26" t="n">
        <x:v>0</x:v>
      </x:c>
      <x:c r="F173" s="26" t="n">
        <x:v>20.833333333333332</x:v>
      </x:c>
      <x:c r="G173" s="26" t="n">
        <x:v>-20.833333333333332</x:v>
      </x:c>
      <x:c r="H173" t="str">
        <x:v>FECHAMENTO</x:v>
      </x:c>
    </x:row>
    <x:row r="174">
      <x:c r="A174" s="25" t="n">
        <x:v>45962</x:v>
      </x:c>
      <x:c r="B174" t="str">
        <x:v>2.02.01</x:v>
      </x:c>
      <x:c r="C174" t="str">
        <x:v>Empréstimos e financiamentos - LP</x:v>
      </x:c>
      <x:c r="D174" t="str">
        <x:v>MATRIZ</x:v>
      </x:c>
      <x:c r="E174" s="26" t="n">
        <x:v>0</x:v>
      </x:c>
      <x:c r="F174" s="26" t="n">
        <x:v>43.75</x:v>
      </x:c>
      <x:c r="G174" s="26" t="n">
        <x:v>-43.75</x:v>
      </x:c>
      <x:c r="H174" t="str">
        <x:v>FECHAMENTO</x:v>
      </x:c>
    </x:row>
    <x:row r="175">
      <x:c r="A175" s="25" t="n">
        <x:v>45962</x:v>
      </x:c>
      <x:c r="B175" t="str">
        <x:v>2.03.01</x:v>
      </x:c>
      <x:c r="C175" t="str">
        <x:v>Capital e reservas / lucros acumulados</x:v>
      </x:c>
      <x:c r="D175" t="str">
        <x:v>MATRIZ</x:v>
      </x:c>
      <x:c r="E175" s="26" t="n">
        <x:v>0</x:v>
      </x:c>
      <x:c r="F175" s="26" t="n">
        <x:v>22.66833333333335</x:v>
      </x:c>
      <x:c r="G175" s="26" t="n">
        <x:v>-22.66833333333335</x:v>
      </x:c>
      <x:c r="H175" t="str">
        <x:v>FECHAMENTO</x:v>
      </x:c>
    </x:row>
    <x:row r="176">
      <x:c r="A176" s="25" t="n">
        <x:v>45962</x:v>
      </x:c>
      <x:c r="B176" t="str">
        <x:v>3.01.03</x:v>
      </x:c>
      <x:c r="C176" t="str">
        <x:v>Receita líquida acumulada</x:v>
      </x:c>
      <x:c r="D176" t="str">
        <x:v>MATRIZ</x:v>
      </x:c>
      <x:c r="E176" s="26" t="n">
        <x:v>0</x:v>
      </x:c>
      <x:c r="F176" s="26" t="n">
        <x:v>165.354</x:v>
      </x:c>
      <x:c r="G176" s="26" t="n">
        <x:v>-165.354</x:v>
      </x:c>
      <x:c r="H176" t="str">
        <x:v>FECHAMENTO</x:v>
      </x:c>
    </x:row>
    <x:row r="177">
      <x:c r="A177" s="25" t="n">
        <x:v>45962</x:v>
      </x:c>
      <x:c r="B177" t="str">
        <x:v>4.99.01</x:v>
      </x:c>
      <x:c r="C177" t="str">
        <x:v>Custos e despesas acumulados</x:v>
      </x:c>
      <x:c r="D177" t="str">
        <x:v>MATRIZ</x:v>
      </x:c>
      <x:c r="E177" s="26" t="n">
        <x:v>155.689</x:v>
      </x:c>
      <x:c r="F177" s="26" t="n">
        <x:v>0</x:v>
      </x:c>
      <x:c r="G177" s="26" t="n">
        <x:v>155.689</x:v>
      </x:c>
      <x:c r="H177" t="str">
        <x:v>FECHAMENTO</x:v>
      </x:c>
    </x:row>
    <x:row r="178">
      <x:c r="A178" s="25" t="n">
        <x:v>45992</x:v>
      </x:c>
      <x:c r="B178" t="str">
        <x:v>1.01.01</x:v>
      </x:c>
      <x:c r="C178" t="str">
        <x:v>Caixa e equivalentes</x:v>
      </x:c>
      <x:c r="D178" t="str">
        <x:v>MATRIZ</x:v>
      </x:c>
      <x:c r="E178" s="26" t="n">
        <x:v>8.6</x:v>
      </x:c>
      <x:c r="F178" s="26" t="n">
        <x:v>0</x:v>
      </x:c>
      <x:c r="G178" s="26" t="n">
        <x:v>8.6</x:v>
      </x:c>
      <x:c r="H178" t="str">
        <x:v>FECHAMENTO</x:v>
      </x:c>
    </x:row>
    <x:row r="179">
      <x:c r="A179" s="25" t="n">
        <x:v>45992</x:v>
      </x:c>
      <x:c r="B179" t="str">
        <x:v>1.01.02</x:v>
      </x:c>
      <x:c r="C179" t="str">
        <x:v>Contas a receber</x:v>
      </x:c>
      <x:c r="D179" t="str">
        <x:v>MATRIZ</x:v>
      </x:c>
      <x:c r="E179" s="26" t="n">
        <x:v>18</x:v>
      </x:c>
      <x:c r="F179" s="26" t="n">
        <x:v>0</x:v>
      </x:c>
      <x:c r="G179" s="26" t="n">
        <x:v>18</x:v>
      </x:c>
      <x:c r="H179" t="str">
        <x:v>FECHAMENTO</x:v>
      </x:c>
    </x:row>
    <x:row r="180">
      <x:c r="A180" s="25" t="n">
        <x:v>45992</x:v>
      </x:c>
      <x:c r="B180" t="str">
        <x:v>1.01.03</x:v>
      </x:c>
      <x:c r="C180" t="str">
        <x:v>Estoques</x:v>
      </x:c>
      <x:c r="D180" t="str">
        <x:v>MATRIZ</x:v>
      </x:c>
      <x:c r="E180" s="26" t="n">
        <x:v>29.7</x:v>
      </x:c>
      <x:c r="F180" s="26" t="n">
        <x:v>0</x:v>
      </x:c>
      <x:c r="G180" s="26" t="n">
        <x:v>29.7</x:v>
      </x:c>
      <x:c r="H180" t="str">
        <x:v>FECHAMENTO</x:v>
      </x:c>
    </x:row>
    <x:row r="181">
      <x:c r="A181" s="25" t="n">
        <x:v>45992</x:v>
      </x:c>
      <x:c r="B181" t="str">
        <x:v>1.01.04</x:v>
      </x:c>
      <x:c r="C181" t="str">
        <x:v>Tributos a recuperar</x:v>
      </x:c>
      <x:c r="D181" t="str">
        <x:v>MATRIZ</x:v>
      </x:c>
      <x:c r="E181" s="26" t="n">
        <x:v>3.2</x:v>
      </x:c>
      <x:c r="F181" s="26" t="n">
        <x:v>0</x:v>
      </x:c>
      <x:c r="G181" s="26" t="n">
        <x:v>3.2</x:v>
      </x:c>
      <x:c r="H181" t="str">
        <x:v>FECHAMENTO</x:v>
      </x:c>
    </x:row>
    <x:row r="182">
      <x:c r="A182" s="25" t="n">
        <x:v>45992</x:v>
      </x:c>
      <x:c r="B182" t="str">
        <x:v>1.01.05</x:v>
      </x:c>
      <x:c r="C182" t="str">
        <x:v>Outros ativos circulantes</x:v>
      </x:c>
      <x:c r="D182" t="str">
        <x:v>MATRIZ</x:v>
      </x:c>
      <x:c r="E182" s="26" t="n">
        <x:v>3.9</x:v>
      </x:c>
      <x:c r="F182" s="26" t="n">
        <x:v>0</x:v>
      </x:c>
      <x:c r="G182" s="26" t="n">
        <x:v>3.9</x:v>
      </x:c>
      <x:c r="H182" t="str">
        <x:v>FECHAMENTO</x:v>
      </x:c>
    </x:row>
    <x:row r="183">
      <x:c r="A183" s="25" t="n">
        <x:v>45992</x:v>
      </x:c>
      <x:c r="B183" t="str">
        <x:v>1.02.01</x:v>
      </x:c>
      <x:c r="C183" t="str">
        <x:v>Imobilizado - custo</x:v>
      </x:c>
      <x:c r="D183" t="str">
        <x:v>MATRIZ</x:v>
      </x:c>
      <x:c r="E183" s="26" t="n">
        <x:v>83</x:v>
      </x:c>
      <x:c r="F183" s="26" t="n">
        <x:v>0</x:v>
      </x:c>
      <x:c r="G183" s="26" t="n">
        <x:v>83</x:v>
      </x:c>
      <x:c r="H183" t="str">
        <x:v>FECHAMENTO</x:v>
      </x:c>
    </x:row>
    <x:row r="184">
      <x:c r="A184" s="25" t="n">
        <x:v>45992</x:v>
      </x:c>
      <x:c r="B184" t="str">
        <x:v>1.02.02</x:v>
      </x:c>
      <x:c r="C184" t="str">
        <x:v>Depreciação acumulada</x:v>
      </x:c>
      <x:c r="D184" t="str">
        <x:v>MATRIZ</x:v>
      </x:c>
      <x:c r="E184" s="26" t="n">
        <x:v>0</x:v>
      </x:c>
      <x:c r="F184" s="26" t="n">
        <x:v>18.9</x:v>
      </x:c>
      <x:c r="G184" s="26" t="n">
        <x:v>-18.9</x:v>
      </x:c>
      <x:c r="H184" t="str">
        <x:v>FECHAMENTO</x:v>
      </x:c>
    </x:row>
    <x:row r="185">
      <x:c r="A185" s="25" t="n">
        <x:v>45992</x:v>
      </x:c>
      <x:c r="B185" t="str">
        <x:v>1.02.03</x:v>
      </x:c>
      <x:c r="C185" t="str">
        <x:v>Outros ativos não circulantes</x:v>
      </x:c>
      <x:c r="D185" t="str">
        <x:v>MATRIZ</x:v>
      </x:c>
      <x:c r="E185" s="26" t="n">
        <x:v>2.7</x:v>
      </x:c>
      <x:c r="F185" s="26" t="n">
        <x:v>0</x:v>
      </x:c>
      <x:c r="G185" s="26" t="n">
        <x:v>2.7</x:v>
      </x:c>
      <x:c r="H185" t="str">
        <x:v>FECHAMENTO</x:v>
      </x:c>
    </x:row>
    <x:row r="186">
      <x:c r="A186" s="25" t="n">
        <x:v>45992</x:v>
      </x:c>
      <x:c r="B186" t="str">
        <x:v>2.01.01</x:v>
      </x:c>
      <x:c r="C186" t="str">
        <x:v>Fornecedores</x:v>
      </x:c>
      <x:c r="D186" t="str">
        <x:v>MATRIZ</x:v>
      </x:c>
      <x:c r="E186" s="26" t="n">
        <x:v>0</x:v>
      </x:c>
      <x:c r="F186" s="26" t="n">
        <x:v>22.5</x:v>
      </x:c>
      <x:c r="G186" s="26" t="n">
        <x:v>-22.5</x:v>
      </x:c>
      <x:c r="H186" t="str">
        <x:v>FECHAMENTO</x:v>
      </x:c>
    </x:row>
    <x:row r="187">
      <x:c r="A187" s="25" t="n">
        <x:v>45992</x:v>
      </x:c>
      <x:c r="B187" t="str">
        <x:v>2.01.02</x:v>
      </x:c>
      <x:c r="C187" t="str">
        <x:v>Obrigações trabalhistas e fiscais</x:v>
      </x:c>
      <x:c r="D187" t="str">
        <x:v>MATRIZ</x:v>
      </x:c>
      <x:c r="E187" s="26" t="n">
        <x:v>0</x:v>
      </x:c>
      <x:c r="F187" s="26" t="n">
        <x:v>7.4</x:v>
      </x:c>
      <x:c r="G187" s="26" t="n">
        <x:v>-7.4</x:v>
      </x:c>
      <x:c r="H187" t="str">
        <x:v>FECHAMENTO</x:v>
      </x:c>
    </x:row>
    <x:row r="188">
      <x:c r="A188" s="25" t="n">
        <x:v>45992</x:v>
      </x:c>
      <x:c r="B188" t="str">
        <x:v>2.01.03</x:v>
      </x:c>
      <x:c r="C188" t="str">
        <x:v>Outros passivos</x:v>
      </x:c>
      <x:c r="D188" t="str">
        <x:v>MATRIZ</x:v>
      </x:c>
      <x:c r="E188" s="26" t="n">
        <x:v>0</x:v>
      </x:c>
      <x:c r="F188" s="26" t="n">
        <x:v>2.5</x:v>
      </x:c>
      <x:c r="G188" s="26" t="n">
        <x:v>-2.5</x:v>
      </x:c>
      <x:c r="H188" t="str">
        <x:v>FECHAMENTO</x:v>
      </x:c>
    </x:row>
    <x:row r="189">
      <x:c r="A189" s="25" t="n">
        <x:v>45992</x:v>
      </x:c>
      <x:c r="B189" t="str">
        <x:v>2.01.04</x:v>
      </x:c>
      <x:c r="C189" t="str">
        <x:v>Empréstimos e financiamentos - CP</x:v>
      </x:c>
      <x:c r="D189" t="str">
        <x:v>MATRIZ</x:v>
      </x:c>
      <x:c r="E189" s="26" t="n">
        <x:v>0</x:v>
      </x:c>
      <x:c r="F189" s="26" t="n">
        <x:v>21</x:v>
      </x:c>
      <x:c r="G189" s="26" t="n">
        <x:v>-21</x:v>
      </x:c>
      <x:c r="H189" t="str">
        <x:v>FECHAMENTO</x:v>
      </x:c>
    </x:row>
    <x:row r="190">
      <x:c r="A190" s="25" t="n">
        <x:v>45992</x:v>
      </x:c>
      <x:c r="B190" t="str">
        <x:v>2.02.01</x:v>
      </x:c>
      <x:c r="C190" t="str">
        <x:v>Empréstimos e financiamentos - LP</x:v>
      </x:c>
      <x:c r="D190" t="str">
        <x:v>MATRIZ</x:v>
      </x:c>
      <x:c r="E190" s="26" t="n">
        <x:v>0</x:v>
      </x:c>
      <x:c r="F190" s="26" t="n">
        <x:v>44</x:v>
      </x:c>
      <x:c r="G190" s="26" t="n">
        <x:v>-44</x:v>
      </x:c>
      <x:c r="H190" t="str">
        <x:v>FECHAMENTO</x:v>
      </x:c>
    </x:row>
    <x:row r="191">
      <x:c r="A191" s="25" t="n">
        <x:v>45992</x:v>
      </x:c>
      <x:c r="B191" t="str">
        <x:v>2.03.01</x:v>
      </x:c>
      <x:c r="C191" t="str">
        <x:v>Capital e reservas / lucros acumulados</x:v>
      </x:c>
      <x:c r="D191" t="str">
        <x:v>MATRIZ</x:v>
      </x:c>
      <x:c r="E191" s="26" t="n">
        <x:v>0</x:v>
      </x:c>
      <x:c r="F191" s="26" t="n">
        <x:v>21.882000000000062</x:v>
      </x:c>
      <x:c r="G191" s="26" t="n">
        <x:v>-21.882000000000062</x:v>
      </x:c>
      <x:c r="H191" t="str">
        <x:v>FECHAMENTO</x:v>
      </x:c>
    </x:row>
    <x:row r="192">
      <x:c r="A192" s="25" t="n">
        <x:v>45992</x:v>
      </x:c>
      <x:c r="B192" t="str">
        <x:v>3.01.03</x:v>
      </x:c>
      <x:c r="C192" t="str">
        <x:v>Receita líquida acumulada</x:v>
      </x:c>
      <x:c r="D192" t="str">
        <x:v>MATRIZ</x:v>
      </x:c>
      <x:c r="E192" s="26" t="n">
        <x:v>0</x:v>
      </x:c>
      <x:c r="F192" s="26" t="n">
        <x:v>184.70000000000002</x:v>
      </x:c>
      <x:c r="G192" s="26" t="n">
        <x:v>-184.70000000000002</x:v>
      </x:c>
      <x:c r="H192" t="str">
        <x:v>FECHAMENTO</x:v>
      </x:c>
    </x:row>
    <x:row r="193">
      <x:c r="A193" s="25" t="n">
        <x:v>45992</x:v>
      </x:c>
      <x:c r="B193" t="str">
        <x:v>4.99.01</x:v>
      </x:c>
      <x:c r="C193" t="str">
        <x:v>Custos e despesas acumulados</x:v>
      </x:c>
      <x:c r="D193" t="str">
        <x:v>MATRIZ</x:v>
      </x:c>
      <x:c r="E193" s="26" t="n">
        <x:v>173.78200000000004</x:v>
      </x:c>
      <x:c r="F193" s="26" t="n">
        <x:v>0</x:v>
      </x:c>
      <x:c r="G193" s="26" t="n">
        <x:v>173.78200000000004</x:v>
      </x:c>
      <x:c r="H193" t="str">
        <x:v>FECHAMENTO</x:v>
      </x:c>
    </x:row>
    <x:row r="194">
      <x:c r="A194" s="25" t="n">
        <x:v>46023</x:v>
      </x:c>
      <x:c r="B194" t="str">
        <x:v>1.01.01</x:v>
      </x:c>
      <x:c r="C194" t="str">
        <x:v>Caixa e equivalentes</x:v>
      </x:c>
      <x:c r="D194" t="str">
        <x:v>MATRIZ</x:v>
      </x:c>
      <x:c r="E194" s="26" t="n">
        <x:v>8.185714285714285</x:v>
      </x:c>
      <x:c r="F194" s="26" t="n">
        <x:v>0</x:v>
      </x:c>
      <x:c r="G194" s="26" t="n">
        <x:v>8.185714285714285</x:v>
      </x:c>
      <x:c r="H194" t="str">
        <x:v>FECHAMENTO</x:v>
      </x:c>
    </x:row>
    <x:row r="195">
      <x:c r="A195" s="25" t="n">
        <x:v>46023</x:v>
      </x:c>
      <x:c r="B195" t="str">
        <x:v>1.01.02</x:v>
      </x:c>
      <x:c r="C195" t="str">
        <x:v>Contas a receber</x:v>
      </x:c>
      <x:c r="D195" t="str">
        <x:v>MATRIZ</x:v>
      </x:c>
      <x:c r="E195" s="26" t="n">
        <x:v>16.4</x:v>
      </x:c>
      <x:c r="F195" s="26" t="n">
        <x:v>0</x:v>
      </x:c>
      <x:c r="G195" s="26" t="n">
        <x:v>16.4</x:v>
      </x:c>
      <x:c r="H195" t="str">
        <x:v>FECHAMENTO</x:v>
      </x:c>
    </x:row>
    <x:row r="196">
      <x:c r="A196" s="25" t="n">
        <x:v>46023</x:v>
      </x:c>
      <x:c r="B196" t="str">
        <x:v>1.01.03</x:v>
      </x:c>
      <x:c r="C196" t="str">
        <x:v>Estoques</x:v>
      </x:c>
      <x:c r="D196" t="str">
        <x:v>MATRIZ</x:v>
      </x:c>
      <x:c r="E196" s="26" t="n">
        <x:v>26.428571428571427</x:v>
      </x:c>
      <x:c r="F196" s="26" t="n">
        <x:v>0</x:v>
      </x:c>
      <x:c r="G196" s="26" t="n">
        <x:v>26.428571428571427</x:v>
      </x:c>
      <x:c r="H196" t="str">
        <x:v>FECHAMENTO</x:v>
      </x:c>
    </x:row>
    <x:row r="197">
      <x:c r="A197" s="25" t="n">
        <x:v>46023</x:v>
      </x:c>
      <x:c r="B197" t="str">
        <x:v>1.01.04</x:v>
      </x:c>
      <x:c r="C197" t="str">
        <x:v>Tributos a recuperar</x:v>
      </x:c>
      <x:c r="D197" t="str">
        <x:v>MATRIZ</x:v>
      </x:c>
      <x:c r="E197" s="26" t="n">
        <x:v>3.057142857142857</x:v>
      </x:c>
      <x:c r="F197" s="26" t="n">
        <x:v>0</x:v>
      </x:c>
      <x:c r="G197" s="26" t="n">
        <x:v>3.057142857142857</x:v>
      </x:c>
      <x:c r="H197" t="str">
        <x:v>FECHAMENTO</x:v>
      </x:c>
    </x:row>
    <x:row r="198">
      <x:c r="A198" s="25" t="n">
        <x:v>46023</x:v>
      </x:c>
      <x:c r="B198" t="str">
        <x:v>1.01.05</x:v>
      </x:c>
      <x:c r="C198" t="str">
        <x:v>Outros ativos circulantes</x:v>
      </x:c>
      <x:c r="D198" t="str">
        <x:v>MATRIZ</x:v>
      </x:c>
      <x:c r="E198" s="26" t="n">
        <x:v>3.785714285714286</x:v>
      </x:c>
      <x:c r="F198" s="26" t="n">
        <x:v>0</x:v>
      </x:c>
      <x:c r="G198" s="26" t="n">
        <x:v>3.785714285714286</x:v>
      </x:c>
      <x:c r="H198" t="str">
        <x:v>FECHAMENTO</x:v>
      </x:c>
    </x:row>
    <x:row r="199">
      <x:c r="A199" s="25" t="n">
        <x:v>46023</x:v>
      </x:c>
      <x:c r="B199" t="str">
        <x:v>1.02.01</x:v>
      </x:c>
      <x:c r="C199" t="str">
        <x:v>Imobilizado - custo</x:v>
      </x:c>
      <x:c r="D199" t="str">
        <x:v>MATRIZ</x:v>
      </x:c>
      <x:c r="E199" s="26" t="n">
        <x:v>75.74285714285715</x:v>
      </x:c>
      <x:c r="F199" s="26" t="n">
        <x:v>0</x:v>
      </x:c>
      <x:c r="G199" s="26" t="n">
        <x:v>75.74285714285715</x:v>
      </x:c>
      <x:c r="H199" t="str">
        <x:v>FECHAMENTO</x:v>
      </x:c>
    </x:row>
    <x:row r="200">
      <x:c r="A200" s="25" t="n">
        <x:v>46023</x:v>
      </x:c>
      <x:c r="B200" t="str">
        <x:v>1.02.02</x:v>
      </x:c>
      <x:c r="C200" t="str">
        <x:v>Depreciação acumulada</x:v>
      </x:c>
      <x:c r="D200" t="str">
        <x:v>MATRIZ</x:v>
      </x:c>
      <x:c r="E200" s="26" t="n">
        <x:v>0</x:v>
      </x:c>
      <x:c r="F200" s="26" t="n">
        <x:v>16.985714285714284</x:v>
      </x:c>
      <x:c r="G200" s="26" t="n">
        <x:v>-16.985714285714284</x:v>
      </x:c>
      <x:c r="H200" t="str">
        <x:v>FECHAMENTO</x:v>
      </x:c>
    </x:row>
    <x:row r="201">
      <x:c r="A201" s="25" t="n">
        <x:v>46023</x:v>
      </x:c>
      <x:c r="B201" t="str">
        <x:v>1.02.03</x:v>
      </x:c>
      <x:c r="C201" t="str">
        <x:v>Outros ativos não circulantes</x:v>
      </x:c>
      <x:c r="D201" t="str">
        <x:v>MATRIZ</x:v>
      </x:c>
      <x:c r="E201" s="26" t="n">
        <x:v>2.5428571428571427</x:v>
      </x:c>
      <x:c r="F201" s="26" t="n">
        <x:v>0</x:v>
      </x:c>
      <x:c r="G201" s="26" t="n">
        <x:v>2.5428571428571427</x:v>
      </x:c>
      <x:c r="H201" t="str">
        <x:v>FECHAMENTO</x:v>
      </x:c>
    </x:row>
    <x:row r="202">
      <x:c r="A202" s="25" t="n">
        <x:v>46023</x:v>
      </x:c>
      <x:c r="B202" t="str">
        <x:v>2.01.01</x:v>
      </x:c>
      <x:c r="C202" t="str">
        <x:v>Fornecedores</x:v>
      </x:c>
      <x:c r="D202" t="str">
        <x:v>MATRIZ</x:v>
      </x:c>
      <x:c r="E202" s="26" t="n">
        <x:v>0</x:v>
      </x:c>
      <x:c r="F202" s="26" t="n">
        <x:v>19.914285714285715</x:v>
      </x:c>
      <x:c r="G202" s="26" t="n">
        <x:v>-19.914285714285715</x:v>
      </x:c>
      <x:c r="H202" t="str">
        <x:v>FECHAMENTO</x:v>
      </x:c>
    </x:row>
    <x:row r="203">
      <x:c r="A203" s="25" t="n">
        <x:v>46023</x:v>
      </x:c>
      <x:c r="B203" t="str">
        <x:v>2.01.02</x:v>
      </x:c>
      <x:c r="C203" t="str">
        <x:v>Obrigações trabalhistas e fiscais</x:v>
      </x:c>
      <x:c r="D203" t="str">
        <x:v>MATRIZ</x:v>
      </x:c>
      <x:c r="E203" s="26" t="n">
        <x:v>0</x:v>
      </x:c>
      <x:c r="F203" s="26" t="n">
        <x:v>6.985714285714286</x:v>
      </x:c>
      <x:c r="G203" s="26" t="n">
        <x:v>-6.985714285714286</x:v>
      </x:c>
      <x:c r="H203" t="str">
        <x:v>FECHAMENTO</x:v>
      </x:c>
    </x:row>
    <x:row r="204">
      <x:c r="A204" s="25" t="n">
        <x:v>46023</x:v>
      </x:c>
      <x:c r="B204" t="str">
        <x:v>2.01.03</x:v>
      </x:c>
      <x:c r="C204" t="str">
        <x:v>Outros passivos</x:v>
      </x:c>
      <x:c r="D204" t="str">
        <x:v>MATRIZ</x:v>
      </x:c>
      <x:c r="E204" s="26" t="n">
        <x:v>0</x:v>
      </x:c>
      <x:c r="F204" s="26" t="n">
        <x:v>2.285714285714286</x:v>
      </x:c>
      <x:c r="G204" s="26" t="n">
        <x:v>-2.285714285714286</x:v>
      </x:c>
      <x:c r="H204" t="str">
        <x:v>FECHAMENTO</x:v>
      </x:c>
    </x:row>
    <x:row r="205">
      <x:c r="A205" s="25" t="n">
        <x:v>46023</x:v>
      </x:c>
      <x:c r="B205" t="str">
        <x:v>2.01.04</x:v>
      </x:c>
      <x:c r="C205" t="str">
        <x:v>Empréstimos e financiamentos - CP</x:v>
      </x:c>
      <x:c r="D205" t="str">
        <x:v>MATRIZ</x:v>
      </x:c>
      <x:c r="E205" s="26" t="n">
        <x:v>0</x:v>
      </x:c>
      <x:c r="F205" s="26" t="n">
        <x:v>19.428571428571427</x:v>
      </x:c>
      <x:c r="G205" s="26" t="n">
        <x:v>-19.428571428571427</x:v>
      </x:c>
      <x:c r="H205" t="str">
        <x:v>FECHAMENTO</x:v>
      </x:c>
    </x:row>
    <x:row r="206">
      <x:c r="A206" s="25" t="n">
        <x:v>46023</x:v>
      </x:c>
      <x:c r="B206" t="str">
        <x:v>2.02.01</x:v>
      </x:c>
      <x:c r="C206" t="str">
        <x:v>Empréstimos e financiamentos - LP</x:v>
      </x:c>
      <x:c r="D206" t="str">
        <x:v>MATRIZ</x:v>
      </x:c>
      <x:c r="E206" s="26" t="n">
        <x:v>0</x:v>
      </x:c>
      <x:c r="F206" s="26" t="n">
        <x:v>41.714285714285715</x:v>
      </x:c>
      <x:c r="G206" s="26" t="n">
        <x:v>-41.714285714285715</x:v>
      </x:c>
      <x:c r="H206" t="str">
        <x:v>FECHAMENTO</x:v>
      </x:c>
    </x:row>
    <x:row r="207">
      <x:c r="A207" s="25" t="n">
        <x:v>46023</x:v>
      </x:c>
      <x:c r="B207" t="str">
        <x:v>2.03.01</x:v>
      </x:c>
      <x:c r="C207" t="str">
        <x:v>Capital e reservas / lucros acumulados</x:v>
      </x:c>
      <x:c r="D207" t="str">
        <x:v>MATRIZ</x:v>
      </x:c>
      <x:c r="E207" s="26" t="n">
        <x:v>0</x:v>
      </x:c>
      <x:c r="F207" s="26" t="n">
        <x:v>27.91057142857143</x:v>
      </x:c>
      <x:c r="G207" s="26" t="n">
        <x:v>-27.91057142857143</x:v>
      </x:c>
      <x:c r="H207" t="str">
        <x:v>FECHAMENTO</x:v>
      </x:c>
    </x:row>
    <x:row r="208">
      <x:c r="A208" s="25" t="n">
        <x:v>46023</x:v>
      </x:c>
      <x:c r="B208" t="str">
        <x:v>3.01.03</x:v>
      </x:c>
      <x:c r="C208" t="str">
        <x:v>Receita líquida acumulada</x:v>
      </x:c>
      <x:c r="D208" t="str">
        <x:v>MATRIZ</x:v>
      </x:c>
      <x:c r="E208" s="26" t="n">
        <x:v>0</x:v>
      </x:c>
      <x:c r="F208" s="26" t="n">
        <x:v>16.8</x:v>
      </x:c>
      <x:c r="G208" s="26" t="n">
        <x:v>-16.8</x:v>
      </x:c>
      <x:c r="H208" t="str">
        <x:v>FECHAMENTO</x:v>
      </x:c>
    </x:row>
    <x:row r="209">
      <x:c r="A209" s="25" t="n">
        <x:v>46023</x:v>
      </x:c>
      <x:c r="B209" t="str">
        <x:v>4.99.01</x:v>
      </x:c>
      <x:c r="C209" t="str">
        <x:v>Custos e despesas acumulados</x:v>
      </x:c>
      <x:c r="D209" t="str">
        <x:v>MATRIZ</x:v>
      </x:c>
      <x:c r="E209" s="26" t="n">
        <x:v>15.882000000000001</x:v>
      </x:c>
      <x:c r="F209" s="26" t="n">
        <x:v>0</x:v>
      </x:c>
      <x:c r="G209" s="26" t="n">
        <x:v>15.882000000000001</x:v>
      </x:c>
      <x:c r="H209" t="str">
        <x:v>FECHAMENTO</x:v>
      </x:c>
    </x:row>
    <x:row r="210">
      <x:c r="A210" s="25" t="n">
        <x:v>46054</x:v>
      </x:c>
      <x:c r="B210" t="str">
        <x:v>1.01.01</x:v>
      </x:c>
      <x:c r="C210" t="str">
        <x:v>Caixa e equivalentes</x:v>
      </x:c>
      <x:c r="D210" t="str">
        <x:v>MATRIZ</x:v>
      </x:c>
      <x:c r="E210" s="26" t="n">
        <x:v>8.371428571428572</x:v>
      </x:c>
      <x:c r="F210" s="26" t="n">
        <x:v>0</x:v>
      </x:c>
      <x:c r="G210" s="26" t="n">
        <x:v>8.371428571428572</x:v>
      </x:c>
      <x:c r="H210" t="str">
        <x:v>FECHAMENTO</x:v>
      </x:c>
    </x:row>
    <x:row r="211">
      <x:c r="A211" s="25" t="n">
        <x:v>46054</x:v>
      </x:c>
      <x:c r="B211" t="str">
        <x:v>1.01.02</x:v>
      </x:c>
      <x:c r="C211" t="str">
        <x:v>Contas a receber</x:v>
      </x:c>
      <x:c r="D211" t="str">
        <x:v>MATRIZ</x:v>
      </x:c>
      <x:c r="E211" s="26" t="n">
        <x:v>16.9</x:v>
      </x:c>
      <x:c r="F211" s="26" t="n">
        <x:v>0</x:v>
      </x:c>
      <x:c r="G211" s="26" t="n">
        <x:v>16.9</x:v>
      </x:c>
      <x:c r="H211" t="str">
        <x:v>FECHAMENTO</x:v>
      </x:c>
    </x:row>
    <x:row r="212">
      <x:c r="A212" s="25" t="n">
        <x:v>46054</x:v>
      </x:c>
      <x:c r="B212" t="str">
        <x:v>1.01.03</x:v>
      </x:c>
      <x:c r="C212" t="str">
        <x:v>Estoques</x:v>
      </x:c>
      <x:c r="D212" t="str">
        <x:v>MATRIZ</x:v>
      </x:c>
      <x:c r="E212" s="26" t="n">
        <x:v>27.457142857142856</x:v>
      </x:c>
      <x:c r="F212" s="26" t="n">
        <x:v>0</x:v>
      </x:c>
      <x:c r="G212" s="26" t="n">
        <x:v>27.457142857142856</x:v>
      </x:c>
      <x:c r="H212" t="str">
        <x:v>FECHAMENTO</x:v>
      </x:c>
    </x:row>
    <x:row r="213">
      <x:c r="A213" s="25" t="n">
        <x:v>46054</x:v>
      </x:c>
      <x:c r="B213" t="str">
        <x:v>1.01.04</x:v>
      </x:c>
      <x:c r="C213" t="str">
        <x:v>Tributos a recuperar</x:v>
      </x:c>
      <x:c r="D213" t="str">
        <x:v>MATRIZ</x:v>
      </x:c>
      <x:c r="E213" s="26" t="n">
        <x:v>3.1142857142857143</x:v>
      </x:c>
      <x:c r="F213" s="26" t="n">
        <x:v>0</x:v>
      </x:c>
      <x:c r="G213" s="26" t="n">
        <x:v>3.1142857142857143</x:v>
      </x:c>
      <x:c r="H213" t="str">
        <x:v>FECHAMENTO</x:v>
      </x:c>
    </x:row>
    <x:row r="214">
      <x:c r="A214" s="25" t="n">
        <x:v>46054</x:v>
      </x:c>
      <x:c r="B214" t="str">
        <x:v>1.01.05</x:v>
      </x:c>
      <x:c r="C214" t="str">
        <x:v>Outros ativos circulantes</x:v>
      </x:c>
      <x:c r="D214" t="str">
        <x:v>MATRIZ</x:v>
      </x:c>
      <x:c r="E214" s="26" t="n">
        <x:v>3.8714285714285714</x:v>
      </x:c>
      <x:c r="F214" s="26" t="n">
        <x:v>0</x:v>
      </x:c>
      <x:c r="G214" s="26" t="n">
        <x:v>3.8714285714285714</x:v>
      </x:c>
      <x:c r="H214" t="str">
        <x:v>FECHAMENTO</x:v>
      </x:c>
    </x:row>
    <x:row r="215">
      <x:c r="A215" s="25" t="n">
        <x:v>46054</x:v>
      </x:c>
      <x:c r="B215" t="str">
        <x:v>1.02.01</x:v>
      </x:c>
      <x:c r="C215" t="str">
        <x:v>Imobilizado - custo</x:v>
      </x:c>
      <x:c r="D215" t="str">
        <x:v>MATRIZ</x:v>
      </x:c>
      <x:c r="E215" s="26" t="n">
        <x:v>78.28571428571429</x:v>
      </x:c>
      <x:c r="F215" s="26" t="n">
        <x:v>0</x:v>
      </x:c>
      <x:c r="G215" s="26" t="n">
        <x:v>78.28571428571429</x:v>
      </x:c>
      <x:c r="H215" t="str">
        <x:v>FECHAMENTO</x:v>
      </x:c>
    </x:row>
    <x:row r="216">
      <x:c r="A216" s="25" t="n">
        <x:v>46054</x:v>
      </x:c>
      <x:c r="B216" t="str">
        <x:v>1.02.02</x:v>
      </x:c>
      <x:c r="C216" t="str">
        <x:v>Depreciação acumulada</x:v>
      </x:c>
      <x:c r="D216" t="str">
        <x:v>MATRIZ</x:v>
      </x:c>
      <x:c r="E216" s="26" t="n">
        <x:v>0</x:v>
      </x:c>
      <x:c r="F216" s="26" t="n">
        <x:v>17.57142857142857</x:v>
      </x:c>
      <x:c r="G216" s="26" t="n">
        <x:v>-17.57142857142857</x:v>
      </x:c>
      <x:c r="H216" t="str">
        <x:v>FECHAMENTO</x:v>
      </x:c>
    </x:row>
    <x:row r="217">
      <x:c r="A217" s="25" t="n">
        <x:v>46054</x:v>
      </x:c>
      <x:c r="B217" t="str">
        <x:v>1.02.03</x:v>
      </x:c>
      <x:c r="C217" t="str">
        <x:v>Outros ativos não circulantes</x:v>
      </x:c>
      <x:c r="D217" t="str">
        <x:v>MATRIZ</x:v>
      </x:c>
      <x:c r="E217" s="26" t="n">
        <x:v>2.585714285714286</x:v>
      </x:c>
      <x:c r="F217" s="26" t="n">
        <x:v>0</x:v>
      </x:c>
      <x:c r="G217" s="26" t="n">
        <x:v>2.585714285714286</x:v>
      </x:c>
      <x:c r="H217" t="str">
        <x:v>FECHAMENTO</x:v>
      </x:c>
    </x:row>
    <x:row r="218">
      <x:c r="A218" s="25" t="n">
        <x:v>46054</x:v>
      </x:c>
      <x:c r="B218" t="str">
        <x:v>2.01.01</x:v>
      </x:c>
      <x:c r="C218" t="str">
        <x:v>Fornecedores</x:v>
      </x:c>
      <x:c r="D218" t="str">
        <x:v>MATRIZ</x:v>
      </x:c>
      <x:c r="E218" s="26" t="n">
        <x:v>0</x:v>
      </x:c>
      <x:c r="F218" s="26" t="n">
        <x:v>20.72857142857143</x:v>
      </x:c>
      <x:c r="G218" s="26" t="n">
        <x:v>-20.72857142857143</x:v>
      </x:c>
      <x:c r="H218" t="str">
        <x:v>FECHAMENTO</x:v>
      </x:c>
    </x:row>
    <x:row r="219">
      <x:c r="A219" s="25" t="n">
        <x:v>46054</x:v>
      </x:c>
      <x:c r="B219" t="str">
        <x:v>2.01.02</x:v>
      </x:c>
      <x:c r="C219" t="str">
        <x:v>Obrigações trabalhistas e fiscais</x:v>
      </x:c>
      <x:c r="D219" t="str">
        <x:v>MATRIZ</x:v>
      </x:c>
      <x:c r="E219" s="26" t="n">
        <x:v>0</x:v>
      </x:c>
      <x:c r="F219" s="26" t="n">
        <x:v>7.171428571428571</x:v>
      </x:c>
      <x:c r="G219" s="26" t="n">
        <x:v>-7.171428571428571</x:v>
      </x:c>
      <x:c r="H219" t="str">
        <x:v>FECHAMENTO</x:v>
      </x:c>
    </x:row>
    <x:row r="220">
      <x:c r="A220" s="25" t="n">
        <x:v>46054</x:v>
      </x:c>
      <x:c r="B220" t="str">
        <x:v>2.01.03</x:v>
      </x:c>
      <x:c r="C220" t="str">
        <x:v>Outros passivos</x:v>
      </x:c>
      <x:c r="D220" t="str">
        <x:v>MATRIZ</x:v>
      </x:c>
      <x:c r="E220" s="26" t="n">
        <x:v>0</x:v>
      </x:c>
      <x:c r="F220" s="26" t="n">
        <x:v>2.3714285714285714</x:v>
      </x:c>
      <x:c r="G220" s="26" t="n">
        <x:v>-2.3714285714285714</x:v>
      </x:c>
      <x:c r="H220" t="str">
        <x:v>FECHAMENTO</x:v>
      </x:c>
    </x:row>
    <x:row r="221">
      <x:c r="A221" s="25" t="n">
        <x:v>46054</x:v>
      </x:c>
      <x:c r="B221" t="str">
        <x:v>2.01.04</x:v>
      </x:c>
      <x:c r="C221" t="str">
        <x:v>Empréstimos e financiamentos - CP</x:v>
      </x:c>
      <x:c r="D221" t="str">
        <x:v>MATRIZ</x:v>
      </x:c>
      <x:c r="E221" s="26" t="n">
        <x:v>0</x:v>
      </x:c>
      <x:c r="F221" s="26" t="n">
        <x:v>19.857142857142858</x:v>
      </x:c>
      <x:c r="G221" s="26" t="n">
        <x:v>-19.857142857142858</x:v>
      </x:c>
      <x:c r="H221" t="str">
        <x:v>FECHAMENTO</x:v>
      </x:c>
    </x:row>
    <x:row r="222">
      <x:c r="A222" s="25" t="n">
        <x:v>46054</x:v>
      </x:c>
      <x:c r="B222" t="str">
        <x:v>2.02.01</x:v>
      </x:c>
      <x:c r="C222" t="str">
        <x:v>Empréstimos e financiamentos - LP</x:v>
      </x:c>
      <x:c r="D222" t="str">
        <x:v>MATRIZ</x:v>
      </x:c>
      <x:c r="E222" s="26" t="n">
        <x:v>0</x:v>
      </x:c>
      <x:c r="F222" s="26" t="n">
        <x:v>42.42857142857143</x:v>
      </x:c>
      <x:c r="G222" s="26" t="n">
        <x:v>-42.42857142857143</x:v>
      </x:c>
      <x:c r="H222" t="str">
        <x:v>FECHAMENTO</x:v>
      </x:c>
    </x:row>
    <x:row r="223">
      <x:c r="A223" s="25" t="n">
        <x:v>46054</x:v>
      </x:c>
      <x:c r="B223" t="str">
        <x:v>2.03.01</x:v>
      </x:c>
      <x:c r="C223" t="str">
        <x:v>Capital e reservas / lucros acumulados</x:v>
      </x:c>
      <x:c r="D223" t="str">
        <x:v>MATRIZ</x:v>
      </x:c>
      <x:c r="E223" s="26" t="n">
        <x:v>0</x:v>
      </x:c>
      <x:c r="F223" s="26" t="n">
        <x:v>28.66614285714286</x:v>
      </x:c>
      <x:c r="G223" s="26" t="n">
        <x:v>-28.66614285714286</x:v>
      </x:c>
      <x:c r="H223" t="str">
        <x:v>FECHAMENTO</x:v>
      </x:c>
    </x:row>
    <x:row r="224">
      <x:c r="A224" s="25" t="n">
        <x:v>46054</x:v>
      </x:c>
      <x:c r="B224" t="str">
        <x:v>3.01.03</x:v>
      </x:c>
      <x:c r="C224" t="str">
        <x:v>Receita líquida acumulada</x:v>
      </x:c>
      <x:c r="D224" t="str">
        <x:v>MATRIZ</x:v>
      </x:c>
      <x:c r="E224" s="26" t="n">
        <x:v>0</x:v>
      </x:c>
      <x:c r="F224" s="26" t="n">
        <x:v>33.2</x:v>
      </x:c>
      <x:c r="G224" s="26" t="n">
        <x:v>-33.2</x:v>
      </x:c>
      <x:c r="H224" t="str">
        <x:v>FECHAMENTO</x:v>
      </x:c>
    </x:row>
    <x:row r="225">
      <x:c r="A225" s="25" t="n">
        <x:v>46054</x:v>
      </x:c>
      <x:c r="B225" t="str">
        <x:v>4.99.01</x:v>
      </x:c>
      <x:c r="C225" t="str">
        <x:v>Custos e despesas acumulados</x:v>
      </x:c>
      <x:c r="D225" t="str">
        <x:v>MATRIZ</x:v>
      </x:c>
      <x:c r="E225" s="26" t="n">
        <x:v>31.409</x:v>
      </x:c>
      <x:c r="F225" s="26" t="n">
        <x:v>0</x:v>
      </x:c>
      <x:c r="G225" s="26" t="n">
        <x:v>31.409</x:v>
      </x:c>
      <x:c r="H225" t="str">
        <x:v>FECHAMENTO</x:v>
      </x:c>
    </x:row>
    <x:row r="226">
      <x:c r="A226" s="25" t="n">
        <x:v>46082</x:v>
      </x:c>
      <x:c r="B226" t="str">
        <x:v>1.01.01</x:v>
      </x:c>
      <x:c r="C226" t="str">
        <x:v>Caixa e equivalentes</x:v>
      </x:c>
      <x:c r="D226" t="str">
        <x:v>MATRIZ</x:v>
      </x:c>
      <x:c r="E226" s="26" t="n">
        <x:v>8.557142857142857</x:v>
      </x:c>
      <x:c r="F226" s="26" t="n">
        <x:v>0</x:v>
      </x:c>
      <x:c r="G226" s="26" t="n">
        <x:v>8.557142857142857</x:v>
      </x:c>
      <x:c r="H226" t="str">
        <x:v>FECHAMENTO</x:v>
      </x:c>
    </x:row>
    <x:row r="227">
      <x:c r="A227" s="25" t="n">
        <x:v>46082</x:v>
      </x:c>
      <x:c r="B227" t="str">
        <x:v>1.01.02</x:v>
      </x:c>
      <x:c r="C227" t="str">
        <x:v>Contas a receber</x:v>
      </x:c>
      <x:c r="D227" t="str">
        <x:v>MATRIZ</x:v>
      </x:c>
      <x:c r="E227" s="26" t="n">
        <x:v>17.4</x:v>
      </x:c>
      <x:c r="F227" s="26" t="n">
        <x:v>0</x:v>
      </x:c>
      <x:c r="G227" s="26" t="n">
        <x:v>17.4</x:v>
      </x:c>
      <x:c r="H227" t="str">
        <x:v>FECHAMENTO</x:v>
      </x:c>
    </x:row>
    <x:row r="228">
      <x:c r="A228" s="25" t="n">
        <x:v>46082</x:v>
      </x:c>
      <x:c r="B228" t="str">
        <x:v>1.01.03</x:v>
      </x:c>
      <x:c r="C228" t="str">
        <x:v>Estoques</x:v>
      </x:c>
      <x:c r="D228" t="str">
        <x:v>MATRIZ</x:v>
      </x:c>
      <x:c r="E228" s="26" t="n">
        <x:v>28.485714285714284</x:v>
      </x:c>
      <x:c r="F228" s="26" t="n">
        <x:v>0</x:v>
      </x:c>
      <x:c r="G228" s="26" t="n">
        <x:v>28.485714285714284</x:v>
      </x:c>
      <x:c r="H228" t="str">
        <x:v>FECHAMENTO</x:v>
      </x:c>
    </x:row>
    <x:row r="229">
      <x:c r="A229" s="25" t="n">
        <x:v>46082</x:v>
      </x:c>
      <x:c r="B229" t="str">
        <x:v>1.01.04</x:v>
      </x:c>
      <x:c r="C229" t="str">
        <x:v>Tributos a recuperar</x:v>
      </x:c>
      <x:c r="D229" t="str">
        <x:v>MATRIZ</x:v>
      </x:c>
      <x:c r="E229" s="26" t="n">
        <x:v>3.1714285714285713</x:v>
      </x:c>
      <x:c r="F229" s="26" t="n">
        <x:v>0</x:v>
      </x:c>
      <x:c r="G229" s="26" t="n">
        <x:v>3.1714285714285713</x:v>
      </x:c>
      <x:c r="H229" t="str">
        <x:v>FECHAMENTO</x:v>
      </x:c>
    </x:row>
    <x:row r="230">
      <x:c r="A230" s="25" t="n">
        <x:v>46082</x:v>
      </x:c>
      <x:c r="B230" t="str">
        <x:v>1.01.05</x:v>
      </x:c>
      <x:c r="C230" t="str">
        <x:v>Outros ativos circulantes</x:v>
      </x:c>
      <x:c r="D230" t="str">
        <x:v>MATRIZ</x:v>
      </x:c>
      <x:c r="E230" s="26" t="n">
        <x:v>3.9571428571428573</x:v>
      </x:c>
      <x:c r="F230" s="26" t="n">
        <x:v>0</x:v>
      </x:c>
      <x:c r="G230" s="26" t="n">
        <x:v>3.9571428571428573</x:v>
      </x:c>
      <x:c r="H230" t="str">
        <x:v>FECHAMENTO</x:v>
      </x:c>
    </x:row>
    <x:row r="231">
      <x:c r="A231" s="25" t="n">
        <x:v>46082</x:v>
      </x:c>
      <x:c r="B231" t="str">
        <x:v>1.02.01</x:v>
      </x:c>
      <x:c r="C231" t="str">
        <x:v>Imobilizado - custo</x:v>
      </x:c>
      <x:c r="D231" t="str">
        <x:v>MATRIZ</x:v>
      </x:c>
      <x:c r="E231" s="26" t="n">
        <x:v>80.82857142857144</x:v>
      </x:c>
      <x:c r="F231" s="26" t="n">
        <x:v>0</x:v>
      </x:c>
      <x:c r="G231" s="26" t="n">
        <x:v>80.82857142857144</x:v>
      </x:c>
      <x:c r="H231" t="str">
        <x:v>FECHAMENTO</x:v>
      </x:c>
    </x:row>
    <x:row r="232">
      <x:c r="A232" s="25" t="n">
        <x:v>46082</x:v>
      </x:c>
      <x:c r="B232" t="str">
        <x:v>1.02.02</x:v>
      </x:c>
      <x:c r="C232" t="str">
        <x:v>Depreciação acumulada</x:v>
      </x:c>
      <x:c r="D232" t="str">
        <x:v>MATRIZ</x:v>
      </x:c>
      <x:c r="E232" s="26" t="n">
        <x:v>0</x:v>
      </x:c>
      <x:c r="F232" s="26" t="n">
        <x:v>18.157142857142855</x:v>
      </x:c>
      <x:c r="G232" s="26" t="n">
        <x:v>-18.157142857142855</x:v>
      </x:c>
      <x:c r="H232" t="str">
        <x:v>FECHAMENTO</x:v>
      </x:c>
    </x:row>
    <x:row r="233">
      <x:c r="A233" s="25" t="n">
        <x:v>46082</x:v>
      </x:c>
      <x:c r="B233" t="str">
        <x:v>1.02.03</x:v>
      </x:c>
      <x:c r="C233" t="str">
        <x:v>Outros ativos não circulantes</x:v>
      </x:c>
      <x:c r="D233" t="str">
        <x:v>MATRIZ</x:v>
      </x:c>
      <x:c r="E233" s="26" t="n">
        <x:v>2.6285714285714286</x:v>
      </x:c>
      <x:c r="F233" s="26" t="n">
        <x:v>0</x:v>
      </x:c>
      <x:c r="G233" s="26" t="n">
        <x:v>2.6285714285714286</x:v>
      </x:c>
      <x:c r="H233" t="str">
        <x:v>FECHAMENTO</x:v>
      </x:c>
    </x:row>
    <x:row r="234">
      <x:c r="A234" s="25" t="n">
        <x:v>46082</x:v>
      </x:c>
      <x:c r="B234" t="str">
        <x:v>2.01.01</x:v>
      </x:c>
      <x:c r="C234" t="str">
        <x:v>Fornecedores</x:v>
      </x:c>
      <x:c r="D234" t="str">
        <x:v>MATRIZ</x:v>
      </x:c>
      <x:c r="E234" s="26" t="n">
        <x:v>0</x:v>
      </x:c>
      <x:c r="F234" s="26" t="n">
        <x:v>21.542857142857144</x:v>
      </x:c>
      <x:c r="G234" s="26" t="n">
        <x:v>-21.542857142857144</x:v>
      </x:c>
      <x:c r="H234" t="str">
        <x:v>FECHAMENTO</x:v>
      </x:c>
    </x:row>
    <x:row r="235">
      <x:c r="A235" s="25" t="n">
        <x:v>46082</x:v>
      </x:c>
      <x:c r="B235" t="str">
        <x:v>2.01.02</x:v>
      </x:c>
      <x:c r="C235" t="str">
        <x:v>Obrigações trabalhistas e fiscais</x:v>
      </x:c>
      <x:c r="D235" t="str">
        <x:v>MATRIZ</x:v>
      </x:c>
      <x:c r="E235" s="26" t="n">
        <x:v>0</x:v>
      </x:c>
      <x:c r="F235" s="26" t="n">
        <x:v>7.357142857142857</x:v>
      </x:c>
      <x:c r="G235" s="26" t="n">
        <x:v>-7.357142857142857</x:v>
      </x:c>
      <x:c r="H235" t="str">
        <x:v>FECHAMENTO</x:v>
      </x:c>
    </x:row>
    <x:row r="236">
      <x:c r="A236" s="25" t="n">
        <x:v>46082</x:v>
      </x:c>
      <x:c r="B236" t="str">
        <x:v>2.01.03</x:v>
      </x:c>
      <x:c r="C236" t="str">
        <x:v>Outros passivos</x:v>
      </x:c>
      <x:c r="D236" t="str">
        <x:v>MATRIZ</x:v>
      </x:c>
      <x:c r="E236" s="26" t="n">
        <x:v>0</x:v>
      </x:c>
      <x:c r="F236" s="26" t="n">
        <x:v>2.4571428571428573</x:v>
      </x:c>
      <x:c r="G236" s="26" t="n">
        <x:v>-2.4571428571428573</x:v>
      </x:c>
      <x:c r="H236" t="str">
        <x:v>FECHAMENTO</x:v>
      </x:c>
    </x:row>
    <x:row r="237">
      <x:c r="A237" s="25" t="n">
        <x:v>46082</x:v>
      </x:c>
      <x:c r="B237" t="str">
        <x:v>2.01.04</x:v>
      </x:c>
      <x:c r="C237" t="str">
        <x:v>Empréstimos e financiamentos - CP</x:v>
      </x:c>
      <x:c r="D237" t="str">
        <x:v>MATRIZ</x:v>
      </x:c>
      <x:c r="E237" s="26" t="n">
        <x:v>0</x:v>
      </x:c>
      <x:c r="F237" s="26" t="n">
        <x:v>20.285714285714285</x:v>
      </x:c>
      <x:c r="G237" s="26" t="n">
        <x:v>-20.285714285714285</x:v>
      </x:c>
      <x:c r="H237" t="str">
        <x:v>FECHAMENTO</x:v>
      </x:c>
    </x:row>
    <x:row r="238">
      <x:c r="A238" s="25" t="n">
        <x:v>46082</x:v>
      </x:c>
      <x:c r="B238" t="str">
        <x:v>2.02.01</x:v>
      </x:c>
      <x:c r="C238" t="str">
        <x:v>Empréstimos e financiamentos - LP</x:v>
      </x:c>
      <x:c r="D238" t="str">
        <x:v>MATRIZ</x:v>
      </x:c>
      <x:c r="E238" s="26" t="n">
        <x:v>0</x:v>
      </x:c>
      <x:c r="F238" s="26" t="n">
        <x:v>43.142857142857146</x:v>
      </x:c>
      <x:c r="G238" s="26" t="n">
        <x:v>-43.142857142857146</x:v>
      </x:c>
      <x:c r="H238" t="str">
        <x:v>FECHAMENTO</x:v>
      </x:c>
    </x:row>
    <x:row r="239">
      <x:c r="A239" s="25" t="n">
        <x:v>46082</x:v>
      </x:c>
      <x:c r="B239" t="str">
        <x:v>2.03.01</x:v>
      </x:c>
      <x:c r="C239" t="str">
        <x:v>Capital e reservas / lucros acumulados</x:v>
      </x:c>
      <x:c r="D239" t="str">
        <x:v>MATRIZ</x:v>
      </x:c>
      <x:c r="E239" s="26" t="n">
        <x:v>0</x:v>
      </x:c>
      <x:c r="F239" s="26" t="n">
        <x:v>29.328714285714284</x:v>
      </x:c>
      <x:c r="G239" s="26" t="n">
        <x:v>-29.328714285714284</x:v>
      </x:c>
      <x:c r="H239" t="str">
        <x:v>FECHAMENTO</x:v>
      </x:c>
    </x:row>
    <x:row r="240">
      <x:c r="A240" s="25" t="n">
        <x:v>46082</x:v>
      </x:c>
      <x:c r="B240" t="str">
        <x:v>3.01.03</x:v>
      </x:c>
      <x:c r="C240" t="str">
        <x:v>Receita líquida acumulada</x:v>
      </x:c>
      <x:c r="D240" t="str">
        <x:v>MATRIZ</x:v>
      </x:c>
      <x:c r="E240" s="26" t="n">
        <x:v>0</x:v>
      </x:c>
      <x:c r="F240" s="26" t="n">
        <x:v>50.300000000000004</x:v>
      </x:c>
      <x:c r="G240" s="26" t="n">
        <x:v>-50.300000000000004</x:v>
      </x:c>
      <x:c r="H240" t="str">
        <x:v>FECHAMENTO</x:v>
      </x:c>
    </x:row>
    <x:row r="241">
      <x:c r="A241" s="25" t="n">
        <x:v>46082</x:v>
      </x:c>
      <x:c r="B241" t="str">
        <x:v>4.99.01</x:v>
      </x:c>
      <x:c r="C241" t="str">
        <x:v>Custos e despesas acumulados</x:v>
      </x:c>
      <x:c r="D241" t="str">
        <x:v>MATRIZ</x:v>
      </x:c>
      <x:c r="E241" s="26" t="n">
        <x:v>47.543</x:v>
      </x:c>
      <x:c r="F241" s="26" t="n">
        <x:v>0</x:v>
      </x:c>
      <x:c r="G241" s="26" t="n">
        <x:v>47.543</x:v>
      </x:c>
      <x:c r="H241" t="str">
        <x:v>FECHAMENTO</x:v>
      </x:c>
    </x:row>
    <x:row r="242">
      <x:c r="A242" s="25" t="n">
        <x:v>46113</x:v>
      </x:c>
      <x:c r="B242" t="str">
        <x:v>1.01.01</x:v>
      </x:c>
      <x:c r="C242" t="str">
        <x:v>Caixa e equivalentes</x:v>
      </x:c>
      <x:c r="D242" t="str">
        <x:v>MATRIZ</x:v>
      </x:c>
      <x:c r="E242" s="26" t="n">
        <x:v>8.742857142857144</x:v>
      </x:c>
      <x:c r="F242" s="26" t="n">
        <x:v>0</x:v>
      </x:c>
      <x:c r="G242" s="26" t="n">
        <x:v>8.742857142857144</x:v>
      </x:c>
      <x:c r="H242" t="str">
        <x:v>FECHAMENTO</x:v>
      </x:c>
    </x:row>
    <x:row r="243">
      <x:c r="A243" s="25" t="n">
        <x:v>46113</x:v>
      </x:c>
      <x:c r="B243" t="str">
        <x:v>1.01.02</x:v>
      </x:c>
      <x:c r="C243" t="str">
        <x:v>Contas a receber</x:v>
      </x:c>
      <x:c r="D243" t="str">
        <x:v>MATRIZ</x:v>
      </x:c>
      <x:c r="E243" s="26" t="n">
        <x:v>17.9</x:v>
      </x:c>
      <x:c r="F243" s="26" t="n">
        <x:v>0</x:v>
      </x:c>
      <x:c r="G243" s="26" t="n">
        <x:v>17.9</x:v>
      </x:c>
      <x:c r="H243" t="str">
        <x:v>FECHAMENTO</x:v>
      </x:c>
    </x:row>
    <x:row r="244">
      <x:c r="A244" s="25" t="n">
        <x:v>46113</x:v>
      </x:c>
      <x:c r="B244" t="str">
        <x:v>1.01.03</x:v>
      </x:c>
      <x:c r="C244" t="str">
        <x:v>Estoques</x:v>
      </x:c>
      <x:c r="D244" t="str">
        <x:v>MATRIZ</x:v>
      </x:c>
      <x:c r="E244" s="26" t="n">
        <x:v>29.514285714285712</x:v>
      </x:c>
      <x:c r="F244" s="26" t="n">
        <x:v>0</x:v>
      </x:c>
      <x:c r="G244" s="26" t="n">
        <x:v>29.514285714285712</x:v>
      </x:c>
      <x:c r="H244" t="str">
        <x:v>FECHAMENTO</x:v>
      </x:c>
    </x:row>
    <x:row r="245">
      <x:c r="A245" s="25" t="n">
        <x:v>46113</x:v>
      </x:c>
      <x:c r="B245" t="str">
        <x:v>1.01.04</x:v>
      </x:c>
      <x:c r="C245" t="str">
        <x:v>Tributos a recuperar</x:v>
      </x:c>
      <x:c r="D245" t="str">
        <x:v>MATRIZ</x:v>
      </x:c>
      <x:c r="E245" s="26" t="n">
        <x:v>3.2285714285714286</x:v>
      </x:c>
      <x:c r="F245" s="26" t="n">
        <x:v>0</x:v>
      </x:c>
      <x:c r="G245" s="26" t="n">
        <x:v>3.2285714285714286</x:v>
      </x:c>
      <x:c r="H245" t="str">
        <x:v>FECHAMENTO</x:v>
      </x:c>
    </x:row>
    <x:row r="246">
      <x:c r="A246" s="25" t="n">
        <x:v>46113</x:v>
      </x:c>
      <x:c r="B246" t="str">
        <x:v>1.01.05</x:v>
      </x:c>
      <x:c r="C246" t="str">
        <x:v>Outros ativos circulantes</x:v>
      </x:c>
      <x:c r="D246" t="str">
        <x:v>MATRIZ</x:v>
      </x:c>
      <x:c r="E246" s="26" t="n">
        <x:v>4.042857142857143</x:v>
      </x:c>
      <x:c r="F246" s="26" t="n">
        <x:v>0</x:v>
      </x:c>
      <x:c r="G246" s="26" t="n">
        <x:v>4.042857142857143</x:v>
      </x:c>
      <x:c r="H246" t="str">
        <x:v>FECHAMENTO</x:v>
      </x:c>
    </x:row>
    <x:row r="247">
      <x:c r="A247" s="25" t="n">
        <x:v>46113</x:v>
      </x:c>
      <x:c r="B247" t="str">
        <x:v>1.02.01</x:v>
      </x:c>
      <x:c r="C247" t="str">
        <x:v>Imobilizado - custo</x:v>
      </x:c>
      <x:c r="D247" t="str">
        <x:v>MATRIZ</x:v>
      </x:c>
      <x:c r="E247" s="26" t="n">
        <x:v>83.37142857142857</x:v>
      </x:c>
      <x:c r="F247" s="26" t="n">
        <x:v>0</x:v>
      </x:c>
      <x:c r="G247" s="26" t="n">
        <x:v>83.37142857142857</x:v>
      </x:c>
      <x:c r="H247" t="str">
        <x:v>FECHAMENTO</x:v>
      </x:c>
    </x:row>
    <x:row r="248">
      <x:c r="A248" s="25" t="n">
        <x:v>46113</x:v>
      </x:c>
      <x:c r="B248" t="str">
        <x:v>1.02.02</x:v>
      </x:c>
      <x:c r="C248" t="str">
        <x:v>Depreciação acumulada</x:v>
      </x:c>
      <x:c r="D248" t="str">
        <x:v>MATRIZ</x:v>
      </x:c>
      <x:c r="E248" s="26" t="n">
        <x:v>0</x:v>
      </x:c>
      <x:c r="F248" s="26" t="n">
        <x:v>18.74285714285714</x:v>
      </x:c>
      <x:c r="G248" s="26" t="n">
        <x:v>-18.74285714285714</x:v>
      </x:c>
      <x:c r="H248" t="str">
        <x:v>FECHAMENTO</x:v>
      </x:c>
    </x:row>
    <x:row r="249">
      <x:c r="A249" s="25" t="n">
        <x:v>46113</x:v>
      </x:c>
      <x:c r="B249" t="str">
        <x:v>1.02.03</x:v>
      </x:c>
      <x:c r="C249" t="str">
        <x:v>Outros ativos não circulantes</x:v>
      </x:c>
      <x:c r="D249" t="str">
        <x:v>MATRIZ</x:v>
      </x:c>
      <x:c r="E249" s="26" t="n">
        <x:v>2.6714285714285713</x:v>
      </x:c>
      <x:c r="F249" s="26" t="n">
        <x:v>0</x:v>
      </x:c>
      <x:c r="G249" s="26" t="n">
        <x:v>2.6714285714285713</x:v>
      </x:c>
      <x:c r="H249" t="str">
        <x:v>FECHAMENTO</x:v>
      </x:c>
    </x:row>
    <x:row r="250">
      <x:c r="A250" s="25" t="n">
        <x:v>46113</x:v>
      </x:c>
      <x:c r="B250" t="str">
        <x:v>2.01.01</x:v>
      </x:c>
      <x:c r="C250" t="str">
        <x:v>Fornecedores</x:v>
      </x:c>
      <x:c r="D250" t="str">
        <x:v>MATRIZ</x:v>
      </x:c>
      <x:c r="E250" s="26" t="n">
        <x:v>0</x:v>
      </x:c>
      <x:c r="F250" s="26" t="n">
        <x:v>22.357142857142858</x:v>
      </x:c>
      <x:c r="G250" s="26" t="n">
        <x:v>-22.357142857142858</x:v>
      </x:c>
      <x:c r="H250" t="str">
        <x:v>FECHAMENTO</x:v>
      </x:c>
    </x:row>
    <x:row r="251">
      <x:c r="A251" s="25" t="n">
        <x:v>46113</x:v>
      </x:c>
      <x:c r="B251" t="str">
        <x:v>2.01.02</x:v>
      </x:c>
      <x:c r="C251" t="str">
        <x:v>Obrigações trabalhistas e fiscais</x:v>
      </x:c>
      <x:c r="D251" t="str">
        <x:v>MATRIZ</x:v>
      </x:c>
      <x:c r="E251" s="26" t="n">
        <x:v>0</x:v>
      </x:c>
      <x:c r="F251" s="26" t="n">
        <x:v>7.542857142857143</x:v>
      </x:c>
      <x:c r="G251" s="26" t="n">
        <x:v>-7.542857142857143</x:v>
      </x:c>
      <x:c r="H251" t="str">
        <x:v>FECHAMENTO</x:v>
      </x:c>
    </x:row>
    <x:row r="252">
      <x:c r="A252" s="25" t="n">
        <x:v>46113</x:v>
      </x:c>
      <x:c r="B252" t="str">
        <x:v>2.01.03</x:v>
      </x:c>
      <x:c r="C252" t="str">
        <x:v>Outros passivos</x:v>
      </x:c>
      <x:c r="D252" t="str">
        <x:v>MATRIZ</x:v>
      </x:c>
      <x:c r="E252" s="26" t="n">
        <x:v>0</x:v>
      </x:c>
      <x:c r="F252" s="26" t="n">
        <x:v>2.5428571428571427</x:v>
      </x:c>
      <x:c r="G252" s="26" t="n">
        <x:v>-2.5428571428571427</x:v>
      </x:c>
      <x:c r="H252" t="str">
        <x:v>FECHAMENTO</x:v>
      </x:c>
    </x:row>
    <x:row r="253">
      <x:c r="A253" s="25" t="n">
        <x:v>46113</x:v>
      </x:c>
      <x:c r="B253" t="str">
        <x:v>2.01.04</x:v>
      </x:c>
      <x:c r="C253" t="str">
        <x:v>Empréstimos e financiamentos - CP</x:v>
      </x:c>
      <x:c r="D253" t="str">
        <x:v>MATRIZ</x:v>
      </x:c>
      <x:c r="E253" s="26" t="n">
        <x:v>0</x:v>
      </x:c>
      <x:c r="F253" s="26" t="n">
        <x:v>20.714285714285715</x:v>
      </x:c>
      <x:c r="G253" s="26" t="n">
        <x:v>-20.714285714285715</x:v>
      </x:c>
      <x:c r="H253" t="str">
        <x:v>FECHAMENTO</x:v>
      </x:c>
    </x:row>
    <x:row r="254">
      <x:c r="A254" s="25" t="n">
        <x:v>46113</x:v>
      </x:c>
      <x:c r="B254" t="str">
        <x:v>2.02.01</x:v>
      </x:c>
      <x:c r="C254" t="str">
        <x:v>Empréstimos e financiamentos - LP</x:v>
      </x:c>
      <x:c r="D254" t="str">
        <x:v>MATRIZ</x:v>
      </x:c>
      <x:c r="E254" s="26" t="n">
        <x:v>0</x:v>
      </x:c>
      <x:c r="F254" s="26" t="n">
        <x:v>43.857142857142854</x:v>
      </x:c>
      <x:c r="G254" s="26" t="n">
        <x:v>-43.857142857142854</x:v>
      </x:c>
      <x:c r="H254" t="str">
        <x:v>FECHAMENTO</x:v>
      </x:c>
    </x:row>
    <x:row r="255">
      <x:c r="A255" s="25" t="n">
        <x:v>46113</x:v>
      </x:c>
      <x:c r="B255" t="str">
        <x:v>2.03.01</x:v>
      </x:c>
      <x:c r="C255" t="str">
        <x:v>Capital e reservas / lucros acumulados</x:v>
      </x:c>
      <x:c r="D255" t="str">
        <x:v>MATRIZ</x:v>
      </x:c>
      <x:c r="E255" s="26" t="n">
        <x:v>0</x:v>
      </x:c>
      <x:c r="F255" s="26" t="n">
        <x:v>29.94428571428574</x:v>
      </x:c>
      <x:c r="G255" s="26" t="n">
        <x:v>-29.94428571428574</x:v>
      </x:c>
      <x:c r="H255" t="str">
        <x:v>FECHAMENTO</x:v>
      </x:c>
    </x:row>
    <x:row r="256">
      <x:c r="A256" s="25" t="n">
        <x:v>46113</x:v>
      </x:c>
      <x:c r="B256" t="str">
        <x:v>3.01.03</x:v>
      </x:c>
      <x:c r="C256" t="str">
        <x:v>Receita líquida acumulada</x:v>
      </x:c>
      <x:c r="D256" t="str">
        <x:v>MATRIZ</x:v>
      </x:c>
      <x:c r="E256" s="26" t="n">
        <x:v>0</x:v>
      </x:c>
      <x:c r="F256" s="26" t="n">
        <x:v>67.80000000000001</x:v>
      </x:c>
      <x:c r="G256" s="26" t="n">
        <x:v>-67.80000000000001</x:v>
      </x:c>
      <x:c r="H256" t="str">
        <x:v>FECHAMENTO</x:v>
      </x:c>
    </x:row>
    <x:row r="257">
      <x:c r="A257" s="25" t="n">
        <x:v>46113</x:v>
      </x:c>
      <x:c r="B257" t="str">
        <x:v>4.99.01</x:v>
      </x:c>
      <x:c r="C257" t="str">
        <x:v>Custos e despesas acumulados</x:v>
      </x:c>
      <x:c r="D257" t="str">
        <x:v>MATRIZ</x:v>
      </x:c>
      <x:c r="E257" s="26" t="n">
        <x:v>64.03000000000002</x:v>
      </x:c>
      <x:c r="F257" s="26" t="n">
        <x:v>0</x:v>
      </x:c>
      <x:c r="G257" s="26" t="n">
        <x:v>64.03000000000002</x:v>
      </x:c>
      <x:c r="H257" t="str">
        <x:v>FECHAMENTO</x:v>
      </x:c>
    </x:row>
    <x:row r="258">
      <x:c r="A258" s="25" t="n">
        <x:v>46143</x:v>
      </x:c>
      <x:c r="B258" t="str">
        <x:v>1.01.01</x:v>
      </x:c>
      <x:c r="C258" t="str">
        <x:v>Caixa e equivalentes</x:v>
      </x:c>
      <x:c r="D258" t="str">
        <x:v>MATRIZ</x:v>
      </x:c>
      <x:c r="E258" s="26" t="n">
        <x:v>8.928571428571429</x:v>
      </x:c>
      <x:c r="F258" s="26" t="n">
        <x:v>0</x:v>
      </x:c>
      <x:c r="G258" s="26" t="n">
        <x:v>8.928571428571429</x:v>
      </x:c>
      <x:c r="H258" t="str">
        <x:v>FECHAMENTO</x:v>
      </x:c>
    </x:row>
    <x:row r="259">
      <x:c r="A259" s="25" t="n">
        <x:v>46143</x:v>
      </x:c>
      <x:c r="B259" t="str">
        <x:v>1.01.02</x:v>
      </x:c>
      <x:c r="C259" t="str">
        <x:v>Contas a receber</x:v>
      </x:c>
      <x:c r="D259" t="str">
        <x:v>MATRIZ</x:v>
      </x:c>
      <x:c r="E259" s="26" t="n">
        <x:v>18.4</x:v>
      </x:c>
      <x:c r="F259" s="26" t="n">
        <x:v>0</x:v>
      </x:c>
      <x:c r="G259" s="26" t="n">
        <x:v>18.4</x:v>
      </x:c>
      <x:c r="H259" t="str">
        <x:v>FECHAMENTO</x:v>
      </x:c>
    </x:row>
    <x:row r="260">
      <x:c r="A260" s="25" t="n">
        <x:v>46143</x:v>
      </x:c>
      <x:c r="B260" t="str">
        <x:v>1.01.03</x:v>
      </x:c>
      <x:c r="C260" t="str">
        <x:v>Estoques</x:v>
      </x:c>
      <x:c r="D260" t="str">
        <x:v>MATRIZ</x:v>
      </x:c>
      <x:c r="E260" s="26" t="n">
        <x:v>30.542857142857144</x:v>
      </x:c>
      <x:c r="F260" s="26" t="n">
        <x:v>0</x:v>
      </x:c>
      <x:c r="G260" s="26" t="n">
        <x:v>30.542857142857144</x:v>
      </x:c>
      <x:c r="H260" t="str">
        <x:v>FECHAMENTO</x:v>
      </x:c>
    </x:row>
    <x:row r="261">
      <x:c r="A261" s="25" t="n">
        <x:v>46143</x:v>
      </x:c>
      <x:c r="B261" t="str">
        <x:v>1.01.04</x:v>
      </x:c>
      <x:c r="C261" t="str">
        <x:v>Tributos a recuperar</x:v>
      </x:c>
      <x:c r="D261" t="str">
        <x:v>MATRIZ</x:v>
      </x:c>
      <x:c r="E261" s="26" t="n">
        <x:v>3.2857142857142856</x:v>
      </x:c>
      <x:c r="F261" s="26" t="n">
        <x:v>0</x:v>
      </x:c>
      <x:c r="G261" s="26" t="n">
        <x:v>3.2857142857142856</x:v>
      </x:c>
      <x:c r="H261" t="str">
        <x:v>FECHAMENTO</x:v>
      </x:c>
    </x:row>
    <x:row r="262">
      <x:c r="A262" s="25" t="n">
        <x:v>46143</x:v>
      </x:c>
      <x:c r="B262" t="str">
        <x:v>1.01.05</x:v>
      </x:c>
      <x:c r="C262" t="str">
        <x:v>Outros ativos circulantes</x:v>
      </x:c>
      <x:c r="D262" t="str">
        <x:v>MATRIZ</x:v>
      </x:c>
      <x:c r="E262" s="26" t="n">
        <x:v>4.128571428571428</x:v>
      </x:c>
      <x:c r="F262" s="26" t="n">
        <x:v>0</x:v>
      </x:c>
      <x:c r="G262" s="26" t="n">
        <x:v>4.128571428571428</x:v>
      </x:c>
      <x:c r="H262" t="str">
        <x:v>FECHAMENTO</x:v>
      </x:c>
    </x:row>
    <x:row r="263">
      <x:c r="A263" s="25" t="n">
        <x:v>46143</x:v>
      </x:c>
      <x:c r="B263" t="str">
        <x:v>1.02.01</x:v>
      </x:c>
      <x:c r="C263" t="str">
        <x:v>Imobilizado - custo</x:v>
      </x:c>
      <x:c r="D263" t="str">
        <x:v>MATRIZ</x:v>
      </x:c>
      <x:c r="E263" s="26" t="n">
        <x:v>85.91428571428571</x:v>
      </x:c>
      <x:c r="F263" s="26" t="n">
        <x:v>0</x:v>
      </x:c>
      <x:c r="G263" s="26" t="n">
        <x:v>85.91428571428571</x:v>
      </x:c>
      <x:c r="H263" t="str">
        <x:v>FECHAMENTO</x:v>
      </x:c>
    </x:row>
    <x:row r="264">
      <x:c r="A264" s="25" t="n">
        <x:v>46143</x:v>
      </x:c>
      <x:c r="B264" t="str">
        <x:v>1.02.02</x:v>
      </x:c>
      <x:c r="C264" t="str">
        <x:v>Depreciação acumulada</x:v>
      </x:c>
      <x:c r="D264" t="str">
        <x:v>MATRIZ</x:v>
      </x:c>
      <x:c r="E264" s="26" t="n">
        <x:v>0</x:v>
      </x:c>
      <x:c r="F264" s="26" t="n">
        <x:v>19.32857142857143</x:v>
      </x:c>
      <x:c r="G264" s="26" t="n">
        <x:v>-19.32857142857143</x:v>
      </x:c>
      <x:c r="H264" t="str">
        <x:v>FECHAMENTO</x:v>
      </x:c>
    </x:row>
    <x:row r="265">
      <x:c r="A265" s="25" t="n">
        <x:v>46143</x:v>
      </x:c>
      <x:c r="B265" t="str">
        <x:v>1.02.03</x:v>
      </x:c>
      <x:c r="C265" t="str">
        <x:v>Outros ativos não circulantes</x:v>
      </x:c>
      <x:c r="D265" t="str">
        <x:v>MATRIZ</x:v>
      </x:c>
      <x:c r="E265" s="26" t="n">
        <x:v>2.714285714285714</x:v>
      </x:c>
      <x:c r="F265" s="26" t="n">
        <x:v>0</x:v>
      </x:c>
      <x:c r="G265" s="26" t="n">
        <x:v>2.714285714285714</x:v>
      </x:c>
      <x:c r="H265" t="str">
        <x:v>FECHAMENTO</x:v>
      </x:c>
    </x:row>
    <x:row r="266">
      <x:c r="A266" s="25" t="n">
        <x:v>46143</x:v>
      </x:c>
      <x:c r="B266" t="str">
        <x:v>2.01.01</x:v>
      </x:c>
      <x:c r="C266" t="str">
        <x:v>Fornecedores</x:v>
      </x:c>
      <x:c r="D266" t="str">
        <x:v>MATRIZ</x:v>
      </x:c>
      <x:c r="E266" s="26" t="n">
        <x:v>0</x:v>
      </x:c>
      <x:c r="F266" s="26" t="n">
        <x:v>23.17142857142857</x:v>
      </x:c>
      <x:c r="G266" s="26" t="n">
        <x:v>-23.17142857142857</x:v>
      </x:c>
      <x:c r="H266" t="str">
        <x:v>FECHAMENTO</x:v>
      </x:c>
    </x:row>
    <x:row r="267">
      <x:c r="A267" s="25" t="n">
        <x:v>46143</x:v>
      </x:c>
      <x:c r="B267" t="str">
        <x:v>2.01.02</x:v>
      </x:c>
      <x:c r="C267" t="str">
        <x:v>Obrigações trabalhistas e fiscais</x:v>
      </x:c>
      <x:c r="D267" t="str">
        <x:v>MATRIZ</x:v>
      </x:c>
      <x:c r="E267" s="26" t="n">
        <x:v>0</x:v>
      </x:c>
      <x:c r="F267" s="26" t="n">
        <x:v>7.728571428571429</x:v>
      </x:c>
      <x:c r="G267" s="26" t="n">
        <x:v>-7.728571428571429</x:v>
      </x:c>
      <x:c r="H267" t="str">
        <x:v>FECHAMENTO</x:v>
      </x:c>
    </x:row>
    <x:row r="268">
      <x:c r="A268" s="25" t="n">
        <x:v>46143</x:v>
      </x:c>
      <x:c r="B268" t="str">
        <x:v>2.01.03</x:v>
      </x:c>
      <x:c r="C268" t="str">
        <x:v>Outros passivos</x:v>
      </x:c>
      <x:c r="D268" t="str">
        <x:v>MATRIZ</x:v>
      </x:c>
      <x:c r="E268" s="26" t="n">
        <x:v>0</x:v>
      </x:c>
      <x:c r="F268" s="26" t="n">
        <x:v>2.6285714285714286</x:v>
      </x:c>
      <x:c r="G268" s="26" t="n">
        <x:v>-2.6285714285714286</x:v>
      </x:c>
      <x:c r="H268" t="str">
        <x:v>FECHAMENTO</x:v>
      </x:c>
    </x:row>
    <x:row r="269">
      <x:c r="A269" s="25" t="n">
        <x:v>46143</x:v>
      </x:c>
      <x:c r="B269" t="str">
        <x:v>2.01.04</x:v>
      </x:c>
      <x:c r="C269" t="str">
        <x:v>Empréstimos e financiamentos - CP</x:v>
      </x:c>
      <x:c r="D269" t="str">
        <x:v>MATRIZ</x:v>
      </x:c>
      <x:c r="E269" s="26" t="n">
        <x:v>0</x:v>
      </x:c>
      <x:c r="F269" s="26" t="n">
        <x:v>21.142857142857142</x:v>
      </x:c>
      <x:c r="G269" s="26" t="n">
        <x:v>-21.142857142857142</x:v>
      </x:c>
      <x:c r="H269" t="str">
        <x:v>FECHAMENTO</x:v>
      </x:c>
    </x:row>
    <x:row r="270">
      <x:c r="A270" s="25" t="n">
        <x:v>46143</x:v>
      </x:c>
      <x:c r="B270" t="str">
        <x:v>2.02.01</x:v>
      </x:c>
      <x:c r="C270" t="str">
        <x:v>Empréstimos e financiamentos - LP</x:v>
      </x:c>
      <x:c r="D270" t="str">
        <x:v>MATRIZ</x:v>
      </x:c>
      <x:c r="E270" s="26" t="n">
        <x:v>0</x:v>
      </x:c>
      <x:c r="F270" s="26" t="n">
        <x:v>44.57142857142857</x:v>
      </x:c>
      <x:c r="G270" s="26" t="n">
        <x:v>-44.57142857142857</x:v>
      </x:c>
      <x:c r="H270" t="str">
        <x:v>FECHAMENTO</x:v>
      </x:c>
    </x:row>
    <x:row r="271">
      <x:c r="A271" s="25" t="n">
        <x:v>46143</x:v>
      </x:c>
      <x:c r="B271" t="str">
        <x:v>2.03.01</x:v>
      </x:c>
      <x:c r="C271" t="str">
        <x:v>Capital e reservas / lucros acumulados</x:v>
      </x:c>
      <x:c r="D271" t="str">
        <x:v>MATRIZ</x:v>
      </x:c>
      <x:c r="E271" s="26" t="n">
        <x:v>0</x:v>
      </x:c>
      <x:c r="F271" s="26" t="n">
        <x:v>30.514857142857124</x:v>
      </x:c>
      <x:c r="G271" s="26" t="n">
        <x:v>-30.514857142857124</x:v>
      </x:c>
      <x:c r="H271" t="str">
        <x:v>FECHAMENTO</x:v>
      </x:c>
    </x:row>
    <x:row r="272">
      <x:c r="A272" s="25" t="n">
        <x:v>46143</x:v>
      </x:c>
      <x:c r="B272" t="str">
        <x:v>3.01.03</x:v>
      </x:c>
      <x:c r="C272" t="str">
        <x:v>Receita líquida acumulada</x:v>
      </x:c>
      <x:c r="D272" t="str">
        <x:v>MATRIZ</x:v>
      </x:c>
      <x:c r="E272" s="26" t="n">
        <x:v>0</x:v>
      </x:c>
      <x:c r="F272" s="26" t="n">
        <x:v>85.70000000000002</x:v>
      </x:c>
      <x:c r="G272" s="26" t="n">
        <x:v>-85.70000000000002</x:v>
      </x:c>
      <x:c r="H272" t="str">
        <x:v>FECHAMENTO</x:v>
      </x:c>
    </x:row>
    <x:row r="273">
      <x:c r="A273" s="25" t="n">
        <x:v>46143</x:v>
      </x:c>
      <x:c r="B273" t="str">
        <x:v>4.99.01</x:v>
      </x:c>
      <x:c r="C273" t="str">
        <x:v>Custos e despesas acumulados</x:v>
      </x:c>
      <x:c r="D273" t="str">
        <x:v>MATRIZ</x:v>
      </x:c>
      <x:c r="E273" s="26" t="n">
        <x:v>80.872</x:v>
      </x:c>
      <x:c r="F273" s="26" t="n">
        <x:v>0</x:v>
      </x:c>
      <x:c r="G273" s="26" t="n">
        <x:v>80.872</x:v>
      </x:c>
      <x:c r="H273" t="str">
        <x:v>FECHAMENTO</x:v>
      </x:c>
    </x:row>
    <x:row r="274">
      <x:c r="A274" s="25" t="n">
        <x:v>46174</x:v>
      </x:c>
      <x:c r="B274" t="str">
        <x:v>1.01.01</x:v>
      </x:c>
      <x:c r="C274" t="str">
        <x:v>Caixa e equivalentes</x:v>
      </x:c>
      <x:c r="D274" t="str">
        <x:v>MATRIZ</x:v>
      </x:c>
      <x:c r="E274" s="26" t="n">
        <x:v>9.114285714285714</x:v>
      </x:c>
      <x:c r="F274" s="26" t="n">
        <x:v>0</x:v>
      </x:c>
      <x:c r="G274" s="26" t="n">
        <x:v>9.114285714285714</x:v>
      </x:c>
      <x:c r="H274" t="str">
        <x:v>FECHAMENTO</x:v>
      </x:c>
    </x:row>
    <x:row r="275">
      <x:c r="A275" s="25" t="n">
        <x:v>46174</x:v>
      </x:c>
      <x:c r="B275" t="str">
        <x:v>1.01.02</x:v>
      </x:c>
      <x:c r="C275" t="str">
        <x:v>Contas a receber</x:v>
      </x:c>
      <x:c r="D275" t="str">
        <x:v>MATRIZ</x:v>
      </x:c>
      <x:c r="E275" s="26" t="n">
        <x:v>18.9</x:v>
      </x:c>
      <x:c r="F275" s="26" t="n">
        <x:v>0</x:v>
      </x:c>
      <x:c r="G275" s="26" t="n">
        <x:v>18.9</x:v>
      </x:c>
      <x:c r="H275" t="str">
        <x:v>FECHAMENTO</x:v>
      </x:c>
    </x:row>
    <x:row r="276">
      <x:c r="A276" s="25" t="n">
        <x:v>46174</x:v>
      </x:c>
      <x:c r="B276" t="str">
        <x:v>1.01.03</x:v>
      </x:c>
      <x:c r="C276" t="str">
        <x:v>Estoques</x:v>
      </x:c>
      <x:c r="D276" t="str">
        <x:v>MATRIZ</x:v>
      </x:c>
      <x:c r="E276" s="26" t="n">
        <x:v>31.571428571428573</x:v>
      </x:c>
      <x:c r="F276" s="26" t="n">
        <x:v>0</x:v>
      </x:c>
      <x:c r="G276" s="26" t="n">
        <x:v>31.571428571428573</x:v>
      </x:c>
      <x:c r="H276" t="str">
        <x:v>FECHAMENTO</x:v>
      </x:c>
    </x:row>
    <x:row r="277">
      <x:c r="A277" s="25" t="n">
        <x:v>46174</x:v>
      </x:c>
      <x:c r="B277" t="str">
        <x:v>1.01.04</x:v>
      </x:c>
      <x:c r="C277" t="str">
        <x:v>Tributos a recuperar</x:v>
      </x:c>
      <x:c r="D277" t="str">
        <x:v>MATRIZ</x:v>
      </x:c>
      <x:c r="E277" s="26" t="n">
        <x:v>3.3428571428571425</x:v>
      </x:c>
      <x:c r="F277" s="26" t="n">
        <x:v>0</x:v>
      </x:c>
      <x:c r="G277" s="26" t="n">
        <x:v>3.3428571428571425</x:v>
      </x:c>
      <x:c r="H277" t="str">
        <x:v>FECHAMENTO</x:v>
      </x:c>
    </x:row>
    <x:row r="278">
      <x:c r="A278" s="25" t="n">
        <x:v>46174</x:v>
      </x:c>
      <x:c r="B278" t="str">
        <x:v>1.01.05</x:v>
      </x:c>
      <x:c r="C278" t="str">
        <x:v>Outros ativos circulantes</x:v>
      </x:c>
      <x:c r="D278" t="str">
        <x:v>MATRIZ</x:v>
      </x:c>
      <x:c r="E278" s="26" t="n">
        <x:v>4.214285714285714</x:v>
      </x:c>
      <x:c r="F278" s="26" t="n">
        <x:v>0</x:v>
      </x:c>
      <x:c r="G278" s="26" t="n">
        <x:v>4.214285714285714</x:v>
      </x:c>
      <x:c r="H278" t="str">
        <x:v>FECHAMENTO</x:v>
      </x:c>
    </x:row>
    <x:row r="279">
      <x:c r="A279" s="25" t="n">
        <x:v>46174</x:v>
      </x:c>
      <x:c r="B279" t="str">
        <x:v>1.02.01</x:v>
      </x:c>
      <x:c r="C279" t="str">
        <x:v>Imobilizado - custo</x:v>
      </x:c>
      <x:c r="D279" t="str">
        <x:v>MATRIZ</x:v>
      </x:c>
      <x:c r="E279" s="26" t="n">
        <x:v>88.45714285714286</x:v>
      </x:c>
      <x:c r="F279" s="26" t="n">
        <x:v>0</x:v>
      </x:c>
      <x:c r="G279" s="26" t="n">
        <x:v>88.45714285714286</x:v>
      </x:c>
      <x:c r="H279" t="str">
        <x:v>FECHAMENTO</x:v>
      </x:c>
    </x:row>
    <x:row r="280">
      <x:c r="A280" s="25" t="n">
        <x:v>46174</x:v>
      </x:c>
      <x:c r="B280" t="str">
        <x:v>1.02.02</x:v>
      </x:c>
      <x:c r="C280" t="str">
        <x:v>Depreciação acumulada</x:v>
      </x:c>
      <x:c r="D280" t="str">
        <x:v>MATRIZ</x:v>
      </x:c>
      <x:c r="E280" s="26" t="n">
        <x:v>0</x:v>
      </x:c>
      <x:c r="F280" s="26" t="n">
        <x:v>19.914285714285715</x:v>
      </x:c>
      <x:c r="G280" s="26" t="n">
        <x:v>-19.914285714285715</x:v>
      </x:c>
      <x:c r="H280" t="str">
        <x:v>FECHAMENTO</x:v>
      </x:c>
    </x:row>
    <x:row r="281">
      <x:c r="A281" s="25" t="n">
        <x:v>46174</x:v>
      </x:c>
      <x:c r="B281" t="str">
        <x:v>1.02.03</x:v>
      </x:c>
      <x:c r="C281" t="str">
        <x:v>Outros ativos não circulantes</x:v>
      </x:c>
      <x:c r="D281" t="str">
        <x:v>MATRIZ</x:v>
      </x:c>
      <x:c r="E281" s="26" t="n">
        <x:v>2.757142857142857</x:v>
      </x:c>
      <x:c r="F281" s="26" t="n">
        <x:v>0</x:v>
      </x:c>
      <x:c r="G281" s="26" t="n">
        <x:v>2.757142857142857</x:v>
      </x:c>
      <x:c r="H281" t="str">
        <x:v>FECHAMENTO</x:v>
      </x:c>
    </x:row>
    <x:row r="282">
      <x:c r="A282" s="25" t="n">
        <x:v>46174</x:v>
      </x:c>
      <x:c r="B282" t="str">
        <x:v>2.01.01</x:v>
      </x:c>
      <x:c r="C282" t="str">
        <x:v>Fornecedores</x:v>
      </x:c>
      <x:c r="D282" t="str">
        <x:v>MATRIZ</x:v>
      </x:c>
      <x:c r="E282" s="26" t="n">
        <x:v>0</x:v>
      </x:c>
      <x:c r="F282" s="26" t="n">
        <x:v>23.985714285714288</x:v>
      </x:c>
      <x:c r="G282" s="26" t="n">
        <x:v>-23.985714285714288</x:v>
      </x:c>
      <x:c r="H282" t="str">
        <x:v>FECHAMENTO</x:v>
      </x:c>
    </x:row>
    <x:row r="283">
      <x:c r="A283" s="25" t="n">
        <x:v>46174</x:v>
      </x:c>
      <x:c r="B283" t="str">
        <x:v>2.01.02</x:v>
      </x:c>
      <x:c r="C283" t="str">
        <x:v>Obrigações trabalhistas e fiscais</x:v>
      </x:c>
      <x:c r="D283" t="str">
        <x:v>MATRIZ</x:v>
      </x:c>
      <x:c r="E283" s="26" t="n">
        <x:v>0</x:v>
      </x:c>
      <x:c r="F283" s="26" t="n">
        <x:v>7.914285714285714</x:v>
      </x:c>
      <x:c r="G283" s="26" t="n">
        <x:v>-7.914285714285714</x:v>
      </x:c>
      <x:c r="H283" t="str">
        <x:v>FECHAMENTO</x:v>
      </x:c>
    </x:row>
    <x:row r="284">
      <x:c r="A284" s="25" t="n">
        <x:v>46174</x:v>
      </x:c>
      <x:c r="B284" t="str">
        <x:v>2.01.03</x:v>
      </x:c>
      <x:c r="C284" t="str">
        <x:v>Outros passivos</x:v>
      </x:c>
      <x:c r="D284" t="str">
        <x:v>MATRIZ</x:v>
      </x:c>
      <x:c r="E284" s="26" t="n">
        <x:v>0</x:v>
      </x:c>
      <x:c r="F284" s="26" t="n">
        <x:v>2.714285714285714</x:v>
      </x:c>
      <x:c r="G284" s="26" t="n">
        <x:v>-2.714285714285714</x:v>
      </x:c>
      <x:c r="H284" t="str">
        <x:v>FECHAMENTO</x:v>
      </x:c>
    </x:row>
    <x:row r="285">
      <x:c r="A285" s="25" t="n">
        <x:v>46174</x:v>
      </x:c>
      <x:c r="B285" t="str">
        <x:v>2.01.04</x:v>
      </x:c>
      <x:c r="C285" t="str">
        <x:v>Empréstimos e financiamentos - CP</x:v>
      </x:c>
      <x:c r="D285" t="str">
        <x:v>MATRIZ</x:v>
      </x:c>
      <x:c r="E285" s="26" t="n">
        <x:v>0</x:v>
      </x:c>
      <x:c r="F285" s="26" t="n">
        <x:v>21.57142857142857</x:v>
      </x:c>
      <x:c r="G285" s="26" t="n">
        <x:v>-21.57142857142857</x:v>
      </x:c>
      <x:c r="H285" t="str">
        <x:v>FECHAMENTO</x:v>
      </x:c>
    </x:row>
    <x:row r="286">
      <x:c r="A286" s="25" t="n">
        <x:v>46174</x:v>
      </x:c>
      <x:c r="B286" t="str">
        <x:v>2.02.01</x:v>
      </x:c>
      <x:c r="C286" t="str">
        <x:v>Empréstimos e financiamentos - LP</x:v>
      </x:c>
      <x:c r="D286" t="str">
        <x:v>MATRIZ</x:v>
      </x:c>
      <x:c r="E286" s="26" t="n">
        <x:v>0</x:v>
      </x:c>
      <x:c r="F286" s="26" t="n">
        <x:v>45.285714285714285</x:v>
      </x:c>
      <x:c r="G286" s="26" t="n">
        <x:v>-45.285714285714285</x:v>
      </x:c>
      <x:c r="H286" t="str">
        <x:v>FECHAMENTO</x:v>
      </x:c>
    </x:row>
    <x:row r="287">
      <x:c r="A287" s="25" t="n">
        <x:v>46174</x:v>
      </x:c>
      <x:c r="B287" t="str">
        <x:v>2.03.01</x:v>
      </x:c>
      <x:c r="C287" t="str">
        <x:v>Capital e reservas / lucros acumulados</x:v>
      </x:c>
      <x:c r="D287" t="str">
        <x:v>MATRIZ</x:v>
      </x:c>
      <x:c r="E287" s="26" t="n">
        <x:v>0</x:v>
      </x:c>
      <x:c r="F287" s="26" t="n">
        <x:v>30.968428571428603</x:v>
      </x:c>
      <x:c r="G287" s="26" t="n">
        <x:v>-30.968428571428603</x:v>
      </x:c>
      <x:c r="H287" t="str">
        <x:v>FECHAMENTO</x:v>
      </x:c>
    </x:row>
    <x:row r="288">
      <x:c r="A288" s="25" t="n">
        <x:v>46174</x:v>
      </x:c>
      <x:c r="B288" t="str">
        <x:v>3.01.03</x:v>
      </x:c>
      <x:c r="C288" t="str">
        <x:v>Receita líquida acumulada</x:v>
      </x:c>
      <x:c r="D288" t="str">
        <x:v>MATRIZ</x:v>
      </x:c>
      <x:c r="E288" s="26" t="n">
        <x:v>0</x:v>
      </x:c>
      <x:c r="F288" s="26" t="n">
        <x:v>103.90000000000002</x:v>
      </x:c>
      <x:c r="G288" s="26" t="n">
        <x:v>-103.90000000000002</x:v>
      </x:c>
      <x:c r="H288" t="str">
        <x:v>FECHAMENTO</x:v>
      </x:c>
    </x:row>
    <x:row r="289">
      <x:c r="A289" s="25" t="n">
        <x:v>46174</x:v>
      </x:c>
      <x:c r="B289" t="str">
        <x:v>4.99.01</x:v>
      </x:c>
      <x:c r="C289" t="str">
        <x:v>Custos e despesas acumulados</x:v>
      </x:c>
      <x:c r="D289" t="str">
        <x:v>MATRIZ</x:v>
      </x:c>
      <x:c r="E289" s="26" t="n">
        <x:v>97.897</x:v>
      </x:c>
      <x:c r="F289" s="26" t="n">
        <x:v>0</x:v>
      </x:c>
      <x:c r="G289" s="26" t="n">
        <x:v>97.897</x:v>
      </x:c>
      <x:c r="H289" t="str">
        <x:v>FECHAMENTO</x:v>
      </x:c>
    </x:row>
    <x:row r="290">
      <x:c r="A290" s="25" t="n">
        <x:v>46204</x:v>
      </x:c>
      <x:c r="B290" t="str">
        <x:v>1.01.01</x:v>
      </x:c>
      <x:c r="C290" t="str">
        <x:v>Caixa e equivalentes</x:v>
      </x:c>
      <x:c r="D290" t="str">
        <x:v>MATRIZ</x:v>
      </x:c>
      <x:c r="E290" s="26" t="n">
        <x:v>9.3</x:v>
      </x:c>
      <x:c r="F290" s="26" t="n">
        <x:v>0</x:v>
      </x:c>
      <x:c r="G290" s="26" t="n">
        <x:v>9.3</x:v>
      </x:c>
      <x:c r="H290" t="str">
        <x:v>FECHAMENTO</x:v>
      </x:c>
    </x:row>
    <x:row r="291">
      <x:c r="A291" s="25" t="n">
        <x:v>46204</x:v>
      </x:c>
      <x:c r="B291" t="str">
        <x:v>1.01.02</x:v>
      </x:c>
      <x:c r="C291" t="str">
        <x:v>Contas a receber</x:v>
      </x:c>
      <x:c r="D291" t="str">
        <x:v>MATRIZ</x:v>
      </x:c>
      <x:c r="E291" s="26" t="n">
        <x:v>19.4</x:v>
      </x:c>
      <x:c r="F291" s="26" t="n">
        <x:v>0</x:v>
      </x:c>
      <x:c r="G291" s="26" t="n">
        <x:v>19.4</x:v>
      </x:c>
      <x:c r="H291" t="str">
        <x:v>FECHAMENTO</x:v>
      </x:c>
    </x:row>
    <x:row r="292">
      <x:c r="A292" s="25" t="n">
        <x:v>46204</x:v>
      </x:c>
      <x:c r="B292" t="str">
        <x:v>1.01.03</x:v>
      </x:c>
      <x:c r="C292" t="str">
        <x:v>Estoques</x:v>
      </x:c>
      <x:c r="D292" t="str">
        <x:v>MATRIZ</x:v>
      </x:c>
      <x:c r="E292" s="26" t="n">
        <x:v>32.6</x:v>
      </x:c>
      <x:c r="F292" s="26" t="n">
        <x:v>0</x:v>
      </x:c>
      <x:c r="G292" s="26" t="n">
        <x:v>32.6</x:v>
      </x:c>
      <x:c r="H292" t="str">
        <x:v>FECHAMENTO</x:v>
      </x:c>
    </x:row>
    <x:row r="293">
      <x:c r="A293" s="25" t="n">
        <x:v>46204</x:v>
      </x:c>
      <x:c r="B293" t="str">
        <x:v>1.01.04</x:v>
      </x:c>
      <x:c r="C293" t="str">
        <x:v>Tributos a recuperar</x:v>
      </x:c>
      <x:c r="D293" t="str">
        <x:v>MATRIZ</x:v>
      </x:c>
      <x:c r="E293" s="26" t="n">
        <x:v>3.4</x:v>
      </x:c>
      <x:c r="F293" s="26" t="n">
        <x:v>0</x:v>
      </x:c>
      <x:c r="G293" s="26" t="n">
        <x:v>3.4</x:v>
      </x:c>
      <x:c r="H293" t="str">
        <x:v>FECHAMENTO</x:v>
      </x:c>
    </x:row>
    <x:row r="294">
      <x:c r="A294" s="25" t="n">
        <x:v>46204</x:v>
      </x:c>
      <x:c r="B294" t="str">
        <x:v>1.01.05</x:v>
      </x:c>
      <x:c r="C294" t="str">
        <x:v>Outros ativos circulantes</x:v>
      </x:c>
      <x:c r="D294" t="str">
        <x:v>MATRIZ</x:v>
      </x:c>
      <x:c r="E294" s="26" t="n">
        <x:v>4.3</x:v>
      </x:c>
      <x:c r="F294" s="26" t="n">
        <x:v>0</x:v>
      </x:c>
      <x:c r="G294" s="26" t="n">
        <x:v>4.3</x:v>
      </x:c>
      <x:c r="H294" t="str">
        <x:v>FECHAMENTO</x:v>
      </x:c>
    </x:row>
    <x:row r="295">
      <x:c r="A295" s="25" t="n">
        <x:v>46204</x:v>
      </x:c>
      <x:c r="B295" t="str">
        <x:v>1.02.01</x:v>
      </x:c>
      <x:c r="C295" t="str">
        <x:v>Imobilizado - custo</x:v>
      </x:c>
      <x:c r="D295" t="str">
        <x:v>MATRIZ</x:v>
      </x:c>
      <x:c r="E295" s="26" t="n">
        <x:v>91</x:v>
      </x:c>
      <x:c r="F295" s="26" t="n">
        <x:v>0</x:v>
      </x:c>
      <x:c r="G295" s="26" t="n">
        <x:v>91</x:v>
      </x:c>
      <x:c r="H295" t="str">
        <x:v>FECHAMENTO</x:v>
      </x:c>
    </x:row>
    <x:row r="296">
      <x:c r="A296" s="25" t="n">
        <x:v>46204</x:v>
      </x:c>
      <x:c r="B296" t="str">
        <x:v>1.02.02</x:v>
      </x:c>
      <x:c r="C296" t="str">
        <x:v>Depreciação acumulada</x:v>
      </x:c>
      <x:c r="D296" t="str">
        <x:v>MATRIZ</x:v>
      </x:c>
      <x:c r="E296" s="26" t="n">
        <x:v>0</x:v>
      </x:c>
      <x:c r="F296" s="26" t="n">
        <x:v>20.5</x:v>
      </x:c>
      <x:c r="G296" s="26" t="n">
        <x:v>-20.5</x:v>
      </x:c>
      <x:c r="H296" t="str">
        <x:v>FECHAMENTO</x:v>
      </x:c>
    </x:row>
    <x:row r="297">
      <x:c r="A297" s="25" t="n">
        <x:v>46204</x:v>
      </x:c>
      <x:c r="B297" t="str">
        <x:v>1.02.03</x:v>
      </x:c>
      <x:c r="C297" t="str">
        <x:v>Outros ativos não circulantes</x:v>
      </x:c>
      <x:c r="D297" t="str">
        <x:v>MATRIZ</x:v>
      </x:c>
      <x:c r="E297" s="26" t="n">
        <x:v>2.8</x:v>
      </x:c>
      <x:c r="F297" s="26" t="n">
        <x:v>0</x:v>
      </x:c>
      <x:c r="G297" s="26" t="n">
        <x:v>2.8</x:v>
      </x:c>
      <x:c r="H297" t="str">
        <x:v>FECHAMENTO</x:v>
      </x:c>
    </x:row>
    <x:row r="298">
      <x:c r="A298" s="25" t="n">
        <x:v>46204</x:v>
      </x:c>
      <x:c r="B298" t="str">
        <x:v>2.01.01</x:v>
      </x:c>
      <x:c r="C298" t="str">
        <x:v>Fornecedores</x:v>
      </x:c>
      <x:c r="D298" t="str">
        <x:v>MATRIZ</x:v>
      </x:c>
      <x:c r="E298" s="26" t="n">
        <x:v>0</x:v>
      </x:c>
      <x:c r="F298" s="26" t="n">
        <x:v>24.8</x:v>
      </x:c>
      <x:c r="G298" s="26" t="n">
        <x:v>-24.8</x:v>
      </x:c>
      <x:c r="H298" t="str">
        <x:v>FECHAMENTO</x:v>
      </x:c>
    </x:row>
    <x:row r="299">
      <x:c r="A299" s="25" t="n">
        <x:v>46204</x:v>
      </x:c>
      <x:c r="B299" t="str">
        <x:v>2.01.02</x:v>
      </x:c>
      <x:c r="C299" t="str">
        <x:v>Obrigações trabalhistas e fiscais</x:v>
      </x:c>
      <x:c r="D299" t="str">
        <x:v>MATRIZ</x:v>
      </x:c>
      <x:c r="E299" s="26" t="n">
        <x:v>0</x:v>
      </x:c>
      <x:c r="F299" s="26" t="n">
        <x:v>8.1</x:v>
      </x:c>
      <x:c r="G299" s="26" t="n">
        <x:v>-8.1</x:v>
      </x:c>
      <x:c r="H299" t="str">
        <x:v>FECHAMENTO</x:v>
      </x:c>
    </x:row>
    <x:row r="300">
      <x:c r="A300" s="25" t="n">
        <x:v>46204</x:v>
      </x:c>
      <x:c r="B300" t="str">
        <x:v>2.01.03</x:v>
      </x:c>
      <x:c r="C300" t="str">
        <x:v>Outros passivos</x:v>
      </x:c>
      <x:c r="D300" t="str">
        <x:v>MATRIZ</x:v>
      </x:c>
      <x:c r="E300" s="26" t="n">
        <x:v>0</x:v>
      </x:c>
      <x:c r="F300" s="26" t="n">
        <x:v>2.8</x:v>
      </x:c>
      <x:c r="G300" s="26" t="n">
        <x:v>-2.8</x:v>
      </x:c>
      <x:c r="H300" t="str">
        <x:v>FECHAMENTO</x:v>
      </x:c>
    </x:row>
    <x:row r="301">
      <x:c r="A301" s="25" t="n">
        <x:v>46204</x:v>
      </x:c>
      <x:c r="B301" t="str">
        <x:v>2.01.04</x:v>
      </x:c>
      <x:c r="C301" t="str">
        <x:v>Empréstimos e financiamentos - CP</x:v>
      </x:c>
      <x:c r="D301" t="str">
        <x:v>MATRIZ</x:v>
      </x:c>
      <x:c r="E301" s="26" t="n">
        <x:v>0</x:v>
      </x:c>
      <x:c r="F301" s="26" t="n">
        <x:v>22</x:v>
      </x:c>
      <x:c r="G301" s="26" t="n">
        <x:v>-22</x:v>
      </x:c>
      <x:c r="H301" t="str">
        <x:v>FECHAMENTO</x:v>
      </x:c>
    </x:row>
    <x:row r="302">
      <x:c r="A302" s="25" t="n">
        <x:v>46204</x:v>
      </x:c>
      <x:c r="B302" t="str">
        <x:v>2.02.01</x:v>
      </x:c>
      <x:c r="C302" t="str">
        <x:v>Empréstimos e financiamentos - LP</x:v>
      </x:c>
      <x:c r="D302" t="str">
        <x:v>MATRIZ</x:v>
      </x:c>
      <x:c r="E302" s="26" t="n">
        <x:v>0</x:v>
      </x:c>
      <x:c r="F302" s="26" t="n">
        <x:v>46</x:v>
      </x:c>
      <x:c r="G302" s="26" t="n">
        <x:v>-46</x:v>
      </x:c>
      <x:c r="H302" t="str">
        <x:v>FECHAMENTO</x:v>
      </x:c>
    </x:row>
    <x:row r="303">
      <x:c r="A303" s="25" t="n">
        <x:v>46204</x:v>
      </x:c>
      <x:c r="B303" t="str">
        <x:v>2.03.01</x:v>
      </x:c>
      <x:c r="C303" t="str">
        <x:v>Capital e reservas / lucros acumulados</x:v>
      </x:c>
      <x:c r="D303" t="str">
        <x:v>MATRIZ</x:v>
      </x:c>
      <x:c r="E303" s="26" t="n">
        <x:v>0</x:v>
      </x:c>
      <x:c r="F303" s="26" t="n">
        <x:v>31.205000000000013</x:v>
      </x:c>
      <x:c r="G303" s="26" t="n">
        <x:v>-31.205000000000013</x:v>
      </x:c>
      <x:c r="H303" t="str">
        <x:v>FECHAMENTO</x:v>
      </x:c>
    </x:row>
    <x:row r="304">
      <x:c r="A304" s="25" t="n">
        <x:v>46204</x:v>
      </x:c>
      <x:c r="B304" t="str">
        <x:v>3.01.03</x:v>
      </x:c>
      <x:c r="C304" t="str">
        <x:v>Receita líquida acumulada</x:v>
      </x:c>
      <x:c r="D304" t="str">
        <x:v>MATRIZ</x:v>
      </x:c>
      <x:c r="E304" s="26" t="n">
        <x:v>0</x:v>
      </x:c>
      <x:c r="F304" s="26" t="n">
        <x:v>123.00000000000003</x:v>
      </x:c>
      <x:c r="G304" s="26" t="n">
        <x:v>-123.00000000000003</x:v>
      </x:c>
      <x:c r="H304" t="str">
        <x:v>FECHAMENTO</x:v>
      </x:c>
    </x:row>
    <x:row r="305">
      <x:c r="A305" s="25" t="n">
        <x:v>46204</x:v>
      </x:c>
      <x:c r="B305" t="str">
        <x:v>4.99.01</x:v>
      </x:c>
      <x:c r="C305" t="str">
        <x:v>Custos e despesas acumulados</x:v>
      </x:c>
      <x:c r="D305" t="str">
        <x:v>MATRIZ</x:v>
      </x:c>
      <x:c r="E305" s="26" t="n">
        <x:v>115.60500000000003</x:v>
      </x:c>
      <x:c r="F305" s="26" t="n">
        <x:v>0</x:v>
      </x:c>
      <x:c r="G305" s="26" t="n">
        <x:v>115.60500000000003</x:v>
      </x:c>
      <x:c r="H305" t="str">
        <x:v>FECHAMENTO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8" hidden="0" customWidth="1"/>
  </x:cols>
  <x:sheetData>
    <x:row r="1">
      <x:c r="A1" s="24" t="str">
        <x:v>CONTA</x:v>
      </x:c>
      <x:c r="B1" s="24" t="str">
        <x:v>DESCRICAO</x:v>
      </x:c>
      <x:c r="C1" s="24" t="str">
        <x:v>GRUPO</x:v>
      </x:c>
      <x:c r="D1" s="24" t="str">
        <x:v>NATUREZA</x:v>
      </x:c>
    </x:row>
    <x:row r="2">
      <x:c r="A2" t="str">
        <x:v>1.01.01</x:v>
      </x:c>
      <x:c r="B2" t="str">
        <x:v>Caixa e equivalentes</x:v>
      </x:c>
      <x:c r="C2" t="str">
        <x:v>ATIVO</x:v>
      </x:c>
      <x:c r="D2" t="str">
        <x:v>D</x:v>
      </x:c>
    </x:row>
    <x:row r="3">
      <x:c r="A3" t="str">
        <x:v>1.01.02</x:v>
      </x:c>
      <x:c r="B3" t="str">
        <x:v>Contas a receber</x:v>
      </x:c>
      <x:c r="C3" t="str">
        <x:v>ATIVO</x:v>
      </x:c>
      <x:c r="D3" t="str">
        <x:v>D</x:v>
      </x:c>
    </x:row>
    <x:row r="4">
      <x:c r="A4" t="str">
        <x:v>1.01.03</x:v>
      </x:c>
      <x:c r="B4" t="str">
        <x:v>Estoques</x:v>
      </x:c>
      <x:c r="C4" t="str">
        <x:v>ATIVO</x:v>
      </x:c>
      <x:c r="D4" t="str">
        <x:v>D</x:v>
      </x:c>
    </x:row>
    <x:row r="5">
      <x:c r="A5" t="str">
        <x:v>1.01.04</x:v>
      </x:c>
      <x:c r="B5" t="str">
        <x:v>Tributos a recuperar</x:v>
      </x:c>
      <x:c r="C5" t="str">
        <x:v>ATIVO</x:v>
      </x:c>
      <x:c r="D5" t="str">
        <x:v>D</x:v>
      </x:c>
    </x:row>
    <x:row r="6">
      <x:c r="A6" t="str">
        <x:v>1.01.05</x:v>
      </x:c>
      <x:c r="B6" t="str">
        <x:v>Outros ativos circulantes</x:v>
      </x:c>
      <x:c r="C6" t="str">
        <x:v>ATIVO</x:v>
      </x:c>
      <x:c r="D6" t="str">
        <x:v>D</x:v>
      </x:c>
    </x:row>
    <x:row r="7">
      <x:c r="A7" t="str">
        <x:v>1.02.01</x:v>
      </x:c>
      <x:c r="B7" t="str">
        <x:v>Imobilizado - custo</x:v>
      </x:c>
      <x:c r="C7" t="str">
        <x:v>ATIVO</x:v>
      </x:c>
      <x:c r="D7" t="str">
        <x:v>D</x:v>
      </x:c>
    </x:row>
    <x:row r="8">
      <x:c r="A8" t="str">
        <x:v>1.02.02</x:v>
      </x:c>
      <x:c r="B8" t="str">
        <x:v>Depreciação acumulada</x:v>
      </x:c>
      <x:c r="C8" t="str">
        <x:v>ATIVO</x:v>
      </x:c>
      <x:c r="D8" t="str">
        <x:v>D</x:v>
      </x:c>
    </x:row>
    <x:row r="9">
      <x:c r="A9" t="str">
        <x:v>1.02.03</x:v>
      </x:c>
      <x:c r="B9" t="str">
        <x:v>Outros ativos não circulantes</x:v>
      </x:c>
      <x:c r="C9" t="str">
        <x:v>ATIVO</x:v>
      </x:c>
      <x:c r="D9" t="str">
        <x:v>D</x:v>
      </x:c>
    </x:row>
    <x:row r="10">
      <x:c r="A10" t="str">
        <x:v>2.01.01</x:v>
      </x:c>
      <x:c r="B10" t="str">
        <x:v>Fornecedores</x:v>
      </x:c>
      <x:c r="C10" t="str">
        <x:v>PASSIVO/PL</x:v>
      </x:c>
      <x:c r="D10" t="str">
        <x:v>C</x:v>
      </x:c>
    </x:row>
    <x:row r="11">
      <x:c r="A11" t="str">
        <x:v>2.01.02</x:v>
      </x:c>
      <x:c r="B11" t="str">
        <x:v>Obrigações trabalhistas e fiscais</x:v>
      </x:c>
      <x:c r="C11" t="str">
        <x:v>PASSIVO/PL</x:v>
      </x:c>
      <x:c r="D11" t="str">
        <x:v>C</x:v>
      </x:c>
    </x:row>
    <x:row r="12">
      <x:c r="A12" t="str">
        <x:v>2.01.03</x:v>
      </x:c>
      <x:c r="B12" t="str">
        <x:v>Outros passivos</x:v>
      </x:c>
      <x:c r="C12" t="str">
        <x:v>PASSIVO/PL</x:v>
      </x:c>
      <x:c r="D12" t="str">
        <x:v>C</x:v>
      </x:c>
    </x:row>
    <x:row r="13">
      <x:c r="A13" t="str">
        <x:v>2.01.04</x:v>
      </x:c>
      <x:c r="B13" t="str">
        <x:v>Empréstimos e financiamentos - CP</x:v>
      </x:c>
      <x:c r="C13" t="str">
        <x:v>PASSIVO/PL</x:v>
      </x:c>
      <x:c r="D13" t="str">
        <x:v>C</x:v>
      </x:c>
    </x:row>
    <x:row r="14">
      <x:c r="A14" t="str">
        <x:v>2.02.01</x:v>
      </x:c>
      <x:c r="B14" t="str">
        <x:v>Empréstimos e financiamentos - LP</x:v>
      </x:c>
      <x:c r="C14" t="str">
        <x:v>PASSIVO/PL</x:v>
      </x:c>
      <x:c r="D14" t="str">
        <x:v>C</x:v>
      </x:c>
    </x:row>
    <x:row r="15">
      <x:c r="A15" t="str">
        <x:v>2.03.01</x:v>
      </x:c>
      <x:c r="B15" t="str">
        <x:v>Capital e reservas / lucros acumulados</x:v>
      </x:c>
      <x:c r="C15" t="str">
        <x:v>PASSIVO/PL</x:v>
      </x:c>
      <x:c r="D15" t="str">
        <x:v>C</x:v>
      </x:c>
    </x:row>
    <x:row r="16">
      <x:c r="A16" t="str">
        <x:v>3.01.03</x:v>
      </x:c>
      <x:c r="B16" t="str">
        <x:v>Receita líquida acumulada</x:v>
      </x:c>
      <x:c r="C16" t="str">
        <x:v>RECEITA</x:v>
      </x:c>
      <x:c r="D16" t="str">
        <x:v>C</x:v>
      </x:c>
    </x:row>
    <x:row r="17">
      <x:c r="A17" t="str">
        <x:v>4.99.01</x:v>
      </x:c>
      <x:c r="B17" t="str">
        <x:v>Custos e despesas acumulados</x:v>
      </x:c>
      <x:c r="C17" t="str">
        <x:v>DESPESA</x:v>
      </x:c>
      <x:c r="D17" t="str">
        <x:v>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8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4" t="str">
        <x:v>CODIGO</x:v>
      </x:c>
      <x:c r="B1" s="24" t="str">
        <x:v>UNIDADE</x:v>
      </x:c>
      <x:c r="C1" s="24" t="str">
        <x:v>MUNICIPIO</x:v>
      </x:c>
      <x:c r="D1" s="24" t="str">
        <x:v>UF</x:v>
      </x:c>
      <x:c r="E1" s="24" t="str">
        <x:v>ABERTURA</x:v>
      </x:c>
      <x:c r="F1" s="24" t="str">
        <x:v>AREA_M2</x:v>
      </x:c>
      <x:c r="G1" s="24" t="str">
        <x:v>TIPO</x:v>
      </x:c>
    </x:row>
    <x:row r="2">
      <x:c r="A2" t="str">
        <x:v>LJ01</x:v>
      </x:c>
      <x:c r="B2" t="str">
        <x:v>Ribeirão Preto - Centro</x:v>
      </x:c>
      <x:c r="C2" t="str">
        <x:v>Ribeirão Preto</x:v>
      </x:c>
      <x:c r="D2" t="str">
        <x:v>SP</x:v>
      </x:c>
      <x:c r="E2" s="9" t="n">
        <x:v>40603</x:v>
      </x:c>
      <x:c r="F2" s="27" t="n">
        <x:v>2100</x:v>
      </x:c>
      <x:c r="G2" t="str">
        <x:v>LOJA</x:v>
      </x:c>
    </x:row>
    <x:row r="3">
      <x:c r="A3" t="str">
        <x:v>LJ02</x:v>
      </x:c>
      <x:c r="B3" t="str">
        <x:v>Ribeirão Preto - Sul</x:v>
      </x:c>
      <x:c r="C3" t="str">
        <x:v>Ribeirão Preto</x:v>
      </x:c>
      <x:c r="D3" t="str">
        <x:v>SP</x:v>
      </x:c>
      <x:c r="E3" s="9" t="n">
        <x:v>41487</x:v>
      </x:c>
      <x:c r="F3" s="27" t="n">
        <x:v>2400</x:v>
      </x:c>
      <x:c r="G3" t="str">
        <x:v>LOJA</x:v>
      </x:c>
    </x:row>
    <x:row r="4">
      <x:c r="A4" t="str">
        <x:v>LJ03</x:v>
      </x:c>
      <x:c r="B4" t="str">
        <x:v>Sertãozinho</x:v>
      </x:c>
      <x:c r="C4" t="str">
        <x:v>Sertãozinho</x:v>
      </x:c>
      <x:c r="D4" t="str">
        <x:v>SP</x:v>
      </x:c>
      <x:c r="E4" s="9" t="n">
        <x:v>41944</x:v>
      </x:c>
      <x:c r="F4" s="27" t="n">
        <x:v>1900</x:v>
      </x:c>
      <x:c r="G4" t="str">
        <x:v>LOJA</x:v>
      </x:c>
    </x:row>
    <x:row r="5">
      <x:c r="A5" t="str">
        <x:v>LJ04</x:v>
      </x:c>
      <x:c r="B5" t="str">
        <x:v>Bebedouro</x:v>
      </x:c>
      <x:c r="C5" t="str">
        <x:v>Bebedouro</x:v>
      </x:c>
      <x:c r="D5" t="str">
        <x:v>SP</x:v>
      </x:c>
      <x:c r="E5" s="9" t="n">
        <x:v>42125</x:v>
      </x:c>
      <x:c r="F5" s="27" t="n">
        <x:v>1850</x:v>
      </x:c>
      <x:c r="G5" t="str">
        <x:v>LOJA</x:v>
      </x:c>
    </x:row>
    <x:row r="6">
      <x:c r="A6" t="str">
        <x:v>LJ05</x:v>
      </x:c>
      <x:c r="B6" t="str">
        <x:v>Barretos</x:v>
      </x:c>
      <x:c r="C6" t="str">
        <x:v>Barretos</x:v>
      </x:c>
      <x:c r="D6" t="str">
        <x:v>SP</x:v>
      </x:c>
      <x:c r="E6" s="9" t="n">
        <x:v>42614</x:v>
      </x:c>
      <x:c r="F6" s="27" t="n">
        <x:v>2050</x:v>
      </x:c>
      <x:c r="G6" t="str">
        <x:v>LOJA</x:v>
      </x:c>
    </x:row>
    <x:row r="7">
      <x:c r="A7" t="str">
        <x:v>LJ06</x:v>
      </x:c>
      <x:c r="B7" t="str">
        <x:v>Jaboticabal</x:v>
      </x:c>
      <x:c r="C7" t="str">
        <x:v>Jaboticabal</x:v>
      </x:c>
      <x:c r="D7" t="str">
        <x:v>SP</x:v>
      </x:c>
      <x:c r="E7" s="9" t="n">
        <x:v>42826</x:v>
      </x:c>
      <x:c r="F7" s="27" t="n">
        <x:v>1750</x:v>
      </x:c>
      <x:c r="G7" t="str">
        <x:v>LOJA</x:v>
      </x:c>
    </x:row>
    <x:row r="8">
      <x:c r="A8" t="str">
        <x:v>LJ07</x:v>
      </x:c>
      <x:c r="B8" t="str">
        <x:v>Matão</x:v>
      </x:c>
      <x:c r="C8" t="str">
        <x:v>Matão</x:v>
      </x:c>
      <x:c r="D8" t="str">
        <x:v>SP</x:v>
      </x:c>
      <x:c r="E8" s="9" t="n">
        <x:v>43282</x:v>
      </x:c>
      <x:c r="F8" s="27" t="n">
        <x:v>1800</x:v>
      </x:c>
      <x:c r="G8" t="str">
        <x:v>LOJA</x:v>
      </x:c>
    </x:row>
    <x:row r="9">
      <x:c r="A9" t="str">
        <x:v>LJ08</x:v>
      </x:c>
      <x:c r="B9" t="str">
        <x:v>Batatais</x:v>
      </x:c>
      <x:c r="C9" t="str">
        <x:v>Batatais</x:v>
      </x:c>
      <x:c r="D9" t="str">
        <x:v>SP</x:v>
      </x:c>
      <x:c r="E9" s="9" t="n">
        <x:v>43739</x:v>
      </x:c>
      <x:c r="F9" s="27" t="n">
        <x:v>1700</x:v>
      </x:c>
      <x:c r="G9" t="str">
        <x:v>LOJA</x:v>
      </x:c>
    </x:row>
    <x:row r="10">
      <x:c r="A10" t="str">
        <x:v>LJ09</x:v>
      </x:c>
      <x:c r="B10" t="str">
        <x:v>Franca - Norte</x:v>
      </x:c>
      <x:c r="C10" t="str">
        <x:v>Franca</x:v>
      </x:c>
      <x:c r="D10" t="str">
        <x:v>SP</x:v>
      </x:c>
      <x:c r="E10" s="9" t="n">
        <x:v>43862</x:v>
      </x:c>
      <x:c r="F10" s="27" t="n">
        <x:v>2200</x:v>
      </x:c>
      <x:c r="G10" t="str">
        <x:v>LOJA</x:v>
      </x:c>
    </x:row>
    <x:row r="11">
      <x:c r="A11" t="str">
        <x:v>LJ10</x:v>
      </x:c>
      <x:c r="B11" t="str">
        <x:v>Araraquara - Centro</x:v>
      </x:c>
      <x:c r="C11" t="str">
        <x:v>Araraquara</x:v>
      </x:c>
      <x:c r="D11" t="str">
        <x:v>SP</x:v>
      </x:c>
      <x:c r="E11" s="9" t="n">
        <x:v>44348</x:v>
      </x:c>
      <x:c r="F11" s="27" t="n">
        <x:v>2000</x:v>
      </x:c>
      <x:c r="G11" t="str">
        <x:v>LOJA</x:v>
      </x:c>
    </x:row>
    <x:row r="12">
      <x:c r="A12" t="str">
        <x:v>LJ11</x:v>
      </x:c>
      <x:c r="B12" t="str">
        <x:v>São Carlos - Sul</x:v>
      </x:c>
      <x:c r="C12" t="str">
        <x:v>São Carlos</x:v>
      </x:c>
      <x:c r="D12" t="str">
        <x:v>SP</x:v>
      </x:c>
      <x:c r="E12" s="9" t="n">
        <x:v>44774</x:v>
      </x:c>
      <x:c r="F12" s="27" t="n">
        <x:v>2150</x:v>
      </x:c>
      <x:c r="G12" t="str">
        <x:v>LOJA</x:v>
      </x:c>
    </x:row>
    <x:row r="13">
      <x:c r="A13" t="str">
        <x:v>LJ12</x:v>
      </x:c>
      <x:c r="B13" t="str">
        <x:v>Ribeirão Preto - Oeste</x:v>
      </x:c>
      <x:c r="C13" t="str">
        <x:v>Ribeirão Preto</x:v>
      </x:c>
      <x:c r="D13" t="str">
        <x:v>SP</x:v>
      </x:c>
      <x:c r="E13" s="9" t="n">
        <x:v>45231</x:v>
      </x:c>
      <x:c r="F13" s="27" t="n">
        <x:v>2300</x:v>
      </x:c>
      <x:c r="G13" t="str">
        <x:v>LOJA</x:v>
      </x:c>
    </x:row>
    <x:row r="14">
      <x:c r="A14" t="str">
        <x:v>CD01</x:v>
      </x:c>
      <x:c r="B14" t="str">
        <x:v>Centro de Distribuição</x:v>
      </x:c>
      <x:c r="C14" t="str">
        <x:v>Ribeirão Preto</x:v>
      </x:c>
      <x:c r="D14" t="str">
        <x:v>SP</x:v>
      </x:c>
      <x:c r="E14" s="9" t="n">
        <x:v>40909</x:v>
      </x:c>
      <x:c r="F14" s="27" t="n">
        <x:v>9800</x:v>
      </x:c>
      <x:c r="G14" t="str">
        <x:v>CD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</x:cols>
  <x:sheetData>
    <x:row r="1" ht="30" customHeight="1">
      <x:c r="A1" s="3" t="str">
        <x:v>CONTROLE DO BALANCETE</x:v>
      </x:c>
      <x:c r="B1" s="3" t="str">
        <x:v>CONTROLE DO BALANCETE</x:v>
      </x:c>
      <x:c r="C1" s="3" t="str">
        <x:v>CONTROLE DO BALANCETE</x:v>
      </x:c>
      <x:c r="D1" s="3" t="str">
        <x:v>CONTROLE DO BALANCETE</x:v>
      </x:c>
      <x:c r="E1" s="3" t="str">
        <x:v>CONTROLE DO BALANCETE</x:v>
      </x:c>
      <x:c r="F1" s="3" t="str">
        <x:v>CONTROLE DO BALANCETE</x:v>
      </x:c>
    </x:row>
    <x:row r="2" ht="28" customHeight="1">
      <x:c r="A2" s="7" t="str">
        <x:v>Conferência de saldos devedores e credores por competência</x:v>
      </x:c>
      <x:c r="B2" s="7" t="str">
        <x:v>Conferência de saldos devedores e credores por competência</x:v>
      </x:c>
      <x:c r="C2" s="7" t="str">
        <x:v>Conferência de saldos devedores e credores por competência</x:v>
      </x:c>
      <x:c r="D2" s="7" t="str">
        <x:v>Conferência de saldos devedores e credores por competência</x:v>
      </x:c>
      <x:c r="E2" s="7" t="str">
        <x:v>Conferência de saldos devedores e credores por competência</x:v>
      </x:c>
      <x:c r="F2" s="7" t="str">
        <x:v>Conferência de saldos devedores e credores por competência</x:v>
      </x:c>
    </x:row>
    <x:row r="5">
      <x:c r="A5" s="24" t="str">
        <x:v>Competência</x:v>
      </x:c>
      <x:c r="B5" s="24" t="str">
        <x:v>Débitos</x:v>
      </x:c>
      <x:c r="C5" s="24" t="str">
        <x:v>Créditos</x:v>
      </x:c>
      <x:c r="D5" s="24" t="str">
        <x:v>Diferença</x:v>
      </x:c>
      <x:c r="E5" s="24" t="str">
        <x:v>Tolerância</x:v>
      </x:c>
      <x:c r="F5" s="24" t="str">
        <x:v>Status</x:v>
      </x:c>
    </x:row>
    <x:row r="6">
      <x:c r="A6" s="25" t="n">
        <x:v>45658</x:v>
      </x:c>
      <x:c r="B6" s="26" t="n">
        <x:f>SUMIFS('BALANCETE_LONG'!$E$2:$E$305,'BALANCETE_LONG'!$A$2:$A$305,A6)</x:f>
        <x:v>146.363</x:v>
      </x:c>
      <x:c r="C6" s="26" t="n">
        <x:f>SUMIFS('BALANCETE_LONG'!$F$2:$F$305,'BALANCETE_LONG'!$A$2:$A$305,A6)</x:f>
        <x:v>146.363</x:v>
      </x:c>
      <x:c r="D6" s="26" t="n">
        <x:f>B6-C6</x:f>
        <x:v>0</x:v>
      </x:c>
      <x:c r="E6" s="26" t="n">
        <x:v>0.001</x:v>
      </x:c>
      <x:c r="F6" t="str">
        <x:f>IF(ABS(D6)&lt;=E6,"OK","REVISAR")</x:f>
        <x:v>OK</x:v>
      </x:c>
    </x:row>
    <x:row r="7">
      <x:c r="A7" s="25" t="n">
        <x:v>45689</x:v>
      </x:c>
      <x:c r="B7" s="26" t="n">
        <x:f>SUMIFS('BALANCETE_LONG'!$E$2:$E$305,'BALANCETE_LONG'!$A$2:$A$305,A7)</x:f>
        <x:v>160.482</x:v>
      </x:c>
      <x:c r="C7" s="26" t="n">
        <x:f>SUMIFS('BALANCETE_LONG'!$F$2:$F$305,'BALANCETE_LONG'!$A$2:$A$305,A7)</x:f>
        <x:v>160.48199999999997</x:v>
      </x:c>
      <x:c r="D7" s="26" t="n">
        <x:f>B7-C7</x:f>
        <x:v>2.842170943040401e-14</x:v>
      </x:c>
      <x:c r="E7" s="26" t="n">
        <x:v>0.001</x:v>
      </x:c>
      <x:c r="F7" t="str">
        <x:f>IF(ABS(D7)&lt;=E7,"OK","REVISAR")</x:f>
        <x:v>OK</x:v>
      </x:c>
    </x:row>
    <x:row r="8">
      <x:c r="A8" s="25" t="n">
        <x:v>45717</x:v>
      </x:c>
      <x:c r="B8" s="26" t="n">
        <x:f>SUMIFS('BALANCETE_LONG'!$E$2:$E$305,'BALANCETE_LONG'!$A$2:$A$305,A8)</x:f>
        <x:v>175.642</x:v>
      </x:c>
      <x:c r="C8" s="26" t="n">
        <x:f>SUMIFS('BALANCETE_LONG'!$F$2:$F$305,'BALANCETE_LONG'!$A$2:$A$305,A8)</x:f>
        <x:v>175.64199999999997</x:v>
      </x:c>
      <x:c r="D8" s="26" t="n">
        <x:f>B8-C8</x:f>
        <x:v>2.842170943040401e-14</x:v>
      </x:c>
      <x:c r="E8" s="26" t="n">
        <x:v>0.001</x:v>
      </x:c>
      <x:c r="F8" t="str">
        <x:f>IF(ABS(D8)&lt;=E8,"OK","REVISAR")</x:f>
        <x:v>OK</x:v>
      </x:c>
    </x:row>
    <x:row r="9">
      <x:c r="A9" s="25" t="n">
        <x:v>45748</x:v>
      </x:c>
      <x:c r="B9" s="26" t="n">
        <x:f>SUMIFS('BALANCETE_LONG'!$E$2:$E$305,'BALANCETE_LONG'!$A$2:$A$305,A9)</x:f>
        <x:v>190.96200000000002</x:v>
      </x:c>
      <x:c r="C9" s="26" t="n">
        <x:f>SUMIFS('BALANCETE_LONG'!$F$2:$F$305,'BALANCETE_LONG'!$A$2:$A$305,A9)</x:f>
        <x:v>190.96200000000005</x:v>
      </x:c>
      <x:c r="D9" s="26" t="n">
        <x:f>B9-C9</x:f>
        <x:v>-2.842170943040401e-14</x:v>
      </x:c>
      <x:c r="E9" s="26" t="n">
        <x:v>0.001</x:v>
      </x:c>
      <x:c r="F9" t="str">
        <x:f>IF(ABS(D9)&lt;=E9,"OK","REVISAR")</x:f>
        <x:v>OK</x:v>
      </x:c>
    </x:row>
    <x:row r="10">
      <x:c r="A10" s="25" t="n">
        <x:v>45778</x:v>
      </x:c>
      <x:c r="B10" s="26" t="n">
        <x:f>SUMIFS('BALANCETE_LONG'!$E$2:$E$305,'BALANCETE_LONG'!$A$2:$A$305,A10)</x:f>
        <x:v>206.441</x:v>
      </x:c>
      <x:c r="C10" s="26" t="n">
        <x:f>SUMIFS('BALANCETE_LONG'!$F$2:$F$305,'BALANCETE_LONG'!$A$2:$A$305,A10)</x:f>
        <x:v>206.44099999999997</x:v>
      </x:c>
      <x:c r="D10" s="26" t="n">
        <x:f>B10-C10</x:f>
        <x:v>2.842170943040401e-14</x:v>
      </x:c>
      <x:c r="E10" s="26" t="n">
        <x:v>0.001</x:v>
      </x:c>
      <x:c r="F10" t="str">
        <x:f>IF(ABS(D10)&lt;=E10,"OK","REVISAR")</x:f>
        <x:v>OK</x:v>
      </x:c>
    </x:row>
    <x:row r="11">
      <x:c r="A11" s="25" t="n">
        <x:v>45809</x:v>
      </x:c>
      <x:c r="B11" s="26" t="n">
        <x:f>SUMIFS('BALANCETE_LONG'!$E$2:$E$305,'BALANCETE_LONG'!$A$2:$A$305,A11)</x:f>
        <x:v>222.07999999999996</x:v>
      </x:c>
      <x:c r="C11" s="26" t="n">
        <x:f>SUMIFS('BALANCETE_LONG'!$F$2:$F$305,'BALANCETE_LONG'!$A$2:$A$305,A11)</x:f>
        <x:v>222.07999999999998</x:v>
      </x:c>
      <x:c r="D11" s="26" t="n">
        <x:f>B11-C11</x:f>
        <x:v>-2.842170943040401e-14</x:v>
      </x:c>
      <x:c r="E11" s="26" t="n">
        <x:v>0.001</x:v>
      </x:c>
      <x:c r="F11" t="str">
        <x:f>IF(ABS(D11)&lt;=E11,"OK","REVISAR")</x:f>
        <x:v>OK</x:v>
      </x:c>
    </x:row>
    <x:row r="12">
      <x:c r="A12" s="25" t="n">
        <x:v>45839</x:v>
      </x:c>
      <x:c r="B12" s="26" t="n">
        <x:f>SUMIFS('BALANCETE_LONG'!$E$2:$E$305,'BALANCETE_LONG'!$A$2:$A$305,A12)</x:f>
        <x:v>237.877</x:v>
      </x:c>
      <x:c r="C12" s="26" t="n">
        <x:f>SUMIFS('BALANCETE_LONG'!$F$2:$F$305,'BALANCETE_LONG'!$A$2:$A$305,A12)</x:f>
        <x:v>237.877</x:v>
      </x:c>
      <x:c r="D12" s="26" t="n">
        <x:f>B12-C12</x:f>
        <x:v>0</x:v>
      </x:c>
      <x:c r="E12" s="26" t="n">
        <x:v>0.001</x:v>
      </x:c>
      <x:c r="F12" t="str">
        <x:f>IF(ABS(D12)&lt;=E12,"OK","REVISAR")</x:f>
        <x:v>OK</x:v>
      </x:c>
    </x:row>
    <x:row r="13">
      <x:c r="A13" s="25" t="n">
        <x:v>45870</x:v>
      </x:c>
      <x:c r="B13" s="26" t="n">
        <x:f>SUMIFS('BALANCETE_LONG'!$E$2:$E$305,'BALANCETE_LONG'!$A$2:$A$305,A13)</x:f>
        <x:v>253.832</x:v>
      </x:c>
      <x:c r="C13" s="26" t="n">
        <x:f>SUMIFS('BALANCETE_LONG'!$F$2:$F$305,'BALANCETE_LONG'!$A$2:$A$305,A13)</x:f>
        <x:v>253.832</x:v>
      </x:c>
      <x:c r="D13" s="26" t="n">
        <x:f>B13-C13</x:f>
        <x:v>0</x:v>
      </x:c>
      <x:c r="E13" s="26" t="n">
        <x:v>0.001</x:v>
      </x:c>
      <x:c r="F13" t="str">
        <x:f>IF(ABS(D13)&lt;=E13,"OK","REVISAR")</x:f>
        <x:v>OK</x:v>
      </x:c>
    </x:row>
    <x:row r="14">
      <x:c r="A14" s="25" t="n">
        <x:v>45901</x:v>
      </x:c>
      <x:c r="B14" s="26" t="n">
        <x:f>SUMIFS('BALANCETE_LONG'!$E$2:$E$305,'BALANCETE_LONG'!$A$2:$A$305,A14)</x:f>
        <x:v>269.94399999999996</x:v>
      </x:c>
      <x:c r="C14" s="26" t="n">
        <x:f>SUMIFS('BALANCETE_LONG'!$F$2:$F$305,'BALANCETE_LONG'!$A$2:$A$305,A14)</x:f>
        <x:v>269.94399999999996</x:v>
      </x:c>
      <x:c r="D14" s="26" t="n">
        <x:f>B14-C14</x:f>
        <x:v>0</x:v>
      </x:c>
      <x:c r="E14" s="26" t="n">
        <x:v>0.001</x:v>
      </x:c>
      <x:c r="F14" t="str">
        <x:f>IF(ABS(D14)&lt;=E14,"OK","REVISAR")</x:f>
        <x:v>OK</x:v>
      </x:c>
    </x:row>
    <x:row r="15">
      <x:c r="A15" s="25" t="n">
        <x:v>45931</x:v>
      </x:c>
      <x:c r="B15" s="26" t="n">
        <x:f>SUMIFS('BALANCETE_LONG'!$E$2:$E$305,'BALANCETE_LONG'!$A$2:$A$305,A15)</x:f>
        <x:v>286.389</x:v>
      </x:c>
      <x:c r="C15" s="26" t="n">
        <x:f>SUMIFS('BALANCETE_LONG'!$F$2:$F$305,'BALANCETE_LONG'!$A$2:$A$305,A15)</x:f>
        <x:v>286.389</x:v>
      </x:c>
      <x:c r="D15" s="26" t="n">
        <x:f>B15-C15</x:f>
        <x:v>0</x:v>
      </x:c>
      <x:c r="E15" s="26" t="n">
        <x:v>0.001</x:v>
      </x:c>
      <x:c r="F15" t="str">
        <x:f>IF(ABS(D15)&lt;=E15,"OK","REVISAR")</x:f>
        <x:v>OK</x:v>
      </x:c>
    </x:row>
    <x:row r="16">
      <x:c r="A16" s="25" t="n">
        <x:v>45962</x:v>
      </x:c>
      <x:c r="B16" s="26" t="n">
        <x:f>SUMIFS('BALANCETE_LONG'!$E$2:$E$305,'BALANCETE_LONG'!$A$2:$A$305,A16)</x:f>
        <x:v>303.339</x:v>
      </x:c>
      <x:c r="C16" s="26" t="n">
        <x:f>SUMIFS('BALANCETE_LONG'!$F$2:$F$305,'BALANCETE_LONG'!$A$2:$A$305,A16)</x:f>
        <x:v>303.33900000000006</x:v>
      </x:c>
      <x:c r="D16" s="26" t="n">
        <x:f>B16-C16</x:f>
        <x:v>-5.684341886080802e-14</x:v>
      </x:c>
      <x:c r="E16" s="26" t="n">
        <x:v>0.001</x:v>
      </x:c>
      <x:c r="F16" t="str">
        <x:f>IF(ABS(D16)&lt;=E16,"OK","REVISAR")</x:f>
        <x:v>OK</x:v>
      </x:c>
    </x:row>
    <x:row r="17">
      <x:c r="A17" s="25" t="n">
        <x:v>45992</x:v>
      </x:c>
      <x:c r="B17" s="26" t="n">
        <x:f>SUMIFS('BALANCETE_LONG'!$E$2:$E$305,'BALANCETE_LONG'!$A$2:$A$305,A17)</x:f>
        <x:v>322.88200000000006</x:v>
      </x:c>
      <x:c r="C17" s="26" t="n">
        <x:f>SUMIFS('BALANCETE_LONG'!$F$2:$F$305,'BALANCETE_LONG'!$A$2:$A$305,A17)</x:f>
        <x:v>322.88200000000006</x:v>
      </x:c>
      <x:c r="D17" s="26" t="n">
        <x:f>B17-C17</x:f>
        <x:v>0</x:v>
      </x:c>
      <x:c r="E17" s="26" t="n">
        <x:v>0.001</x:v>
      </x:c>
      <x:c r="F17" t="str">
        <x:f>IF(ABS(D17)&lt;=E17,"OK","REVISAR")</x:f>
        <x:v>OK</x:v>
      </x:c>
    </x:row>
    <x:row r="18">
      <x:c r="A18" s="25" t="n">
        <x:v>46023</x:v>
      </x:c>
      <x:c r="B18" s="26" t="n">
        <x:f>SUMIFS('BALANCETE_LONG'!$E$2:$E$305,'BALANCETE_LONG'!$A$2:$A$305,A18)</x:f>
        <x:v>152.02485714285714</x:v>
      </x:c>
      <x:c r="C18" s="26" t="n">
        <x:f>SUMIFS('BALANCETE_LONG'!$F$2:$F$305,'BALANCETE_LONG'!$A$2:$A$305,A18)</x:f>
        <x:v>152.02485714285717</x:v>
      </x:c>
      <x:c r="D18" s="26" t="n">
        <x:f>B18-C18</x:f>
        <x:v>-2.842170943040401e-14</x:v>
      </x:c>
      <x:c r="E18" s="26" t="n">
        <x:v>0.001</x:v>
      </x:c>
      <x:c r="F18" t="str">
        <x:f>IF(ABS(D18)&lt;=E18,"OK","REVISAR")</x:f>
        <x:v>OK</x:v>
      </x:c>
    </x:row>
    <x:row r="19">
      <x:c r="A19" s="25" t="n">
        <x:v>46054</x:v>
      </x:c>
      <x:c r="B19" s="26" t="n">
        <x:f>SUMIFS('BALANCETE_LONG'!$E$2:$E$305,'BALANCETE_LONG'!$A$2:$A$305,A19)</x:f>
        <x:v>171.99471428571428</x:v>
      </x:c>
      <x:c r="C19" s="26" t="n">
        <x:f>SUMIFS('BALANCETE_LONG'!$F$2:$F$305,'BALANCETE_LONG'!$A$2:$A$305,A19)</x:f>
        <x:v>171.99471428571428</x:v>
      </x:c>
      <x:c r="D19" s="26" t="n">
        <x:f>B19-C19</x:f>
        <x:v>0</x:v>
      </x:c>
      <x:c r="E19" s="26" t="n">
        <x:v>0.001</x:v>
      </x:c>
      <x:c r="F19" t="str">
        <x:f>IF(ABS(D19)&lt;=E19,"OK","REVISAR")</x:f>
        <x:v>OK</x:v>
      </x:c>
    </x:row>
    <x:row r="20">
      <x:c r="A20" s="25" t="n">
        <x:v>46082</x:v>
      </x:c>
      <x:c r="B20" s="26" t="n">
        <x:f>SUMIFS('BALANCETE_LONG'!$E$2:$E$305,'BALANCETE_LONG'!$A$2:$A$305,A20)</x:f>
        <x:v>192.57157142857145</x:v>
      </x:c>
      <x:c r="C20" s="26" t="n">
        <x:f>SUMIFS('BALANCETE_LONG'!$F$2:$F$305,'BALANCETE_LONG'!$A$2:$A$305,A20)</x:f>
        <x:v>192.57157142857145</x:v>
      </x:c>
      <x:c r="D20" s="26" t="n">
        <x:f>B20-C20</x:f>
        <x:v>0</x:v>
      </x:c>
      <x:c r="E20" s="26" t="n">
        <x:v>0.001</x:v>
      </x:c>
      <x:c r="F20" t="str">
        <x:f>IF(ABS(D20)&lt;=E20,"OK","REVISAR")</x:f>
        <x:v>OK</x:v>
      </x:c>
    </x:row>
    <x:row r="21">
      <x:c r="A21" s="25" t="n">
        <x:v>46113</x:v>
      </x:c>
      <x:c r="B21" s="26" t="n">
        <x:f>SUMIFS('BALANCETE_LONG'!$E$2:$E$305,'BALANCETE_LONG'!$A$2:$A$305,A21)</x:f>
        <x:v>213.50142857142862</x:v>
      </x:c>
      <x:c r="C21" s="26" t="n">
        <x:f>SUMIFS('BALANCETE_LONG'!$F$2:$F$305,'BALANCETE_LONG'!$A$2:$A$305,A21)</x:f>
        <x:v>213.50142857142862</x:v>
      </x:c>
      <x:c r="D21" s="26" t="n">
        <x:f>B21-C21</x:f>
        <x:v>0</x:v>
      </x:c>
      <x:c r="E21" s="26" t="n">
        <x:v>0.001</x:v>
      </x:c>
      <x:c r="F21" t="str">
        <x:f>IF(ABS(D21)&lt;=E21,"OK","REVISAR")</x:f>
        <x:v>OK</x:v>
      </x:c>
    </x:row>
    <x:row r="22">
      <x:c r="A22" s="25" t="n">
        <x:v>46143</x:v>
      </x:c>
      <x:c r="B22" s="26" t="n">
        <x:f>SUMIFS('BALANCETE_LONG'!$E$2:$E$305,'BALANCETE_LONG'!$A$2:$A$305,A22)</x:f>
        <x:v>234.78628571428573</x:v>
      </x:c>
      <x:c r="C22" s="26" t="n">
        <x:f>SUMIFS('BALANCETE_LONG'!$F$2:$F$305,'BALANCETE_LONG'!$A$2:$A$305,A22)</x:f>
        <x:v>234.7862857142857</x:v>
      </x:c>
      <x:c r="D22" s="26" t="n">
        <x:f>B22-C22</x:f>
        <x:v>2.842170943040401e-14</x:v>
      </x:c>
      <x:c r="E22" s="26" t="n">
        <x:v>0.001</x:v>
      </x:c>
      <x:c r="F22" t="str">
        <x:f>IF(ABS(D22)&lt;=E22,"OK","REVISAR")</x:f>
        <x:v>OK</x:v>
      </x:c>
    </x:row>
    <x:row r="23">
      <x:c r="A23" s="25" t="n">
        <x:v>46174</x:v>
      </x:c>
      <x:c r="B23" s="26" t="n">
        <x:f>SUMIFS('BALANCETE_LONG'!$E$2:$E$305,'BALANCETE_LONG'!$A$2:$A$305,A23)</x:f>
        <x:v>256.2541428571429</x:v>
      </x:c>
      <x:c r="C23" s="26" t="n">
        <x:f>SUMIFS('BALANCETE_LONG'!$F$2:$F$305,'BALANCETE_LONG'!$A$2:$A$305,A23)</x:f>
        <x:v>256.2541428571429</x:v>
      </x:c>
      <x:c r="D23" s="26" t="n">
        <x:f>B23-C23</x:f>
        <x:v>0</x:v>
      </x:c>
      <x:c r="E23" s="26" t="n">
        <x:v>0.001</x:v>
      </x:c>
      <x:c r="F23" t="str">
        <x:f>IF(ABS(D23)&lt;=E23,"OK","REVISAR")</x:f>
        <x:v>OK</x:v>
      </x:c>
    </x:row>
    <x:row r="24">
      <x:c r="A24" s="25" t="n">
        <x:v>46204</x:v>
      </x:c>
      <x:c r="B24" s="26" t="n">
        <x:f>SUMIFS('BALANCETE_LONG'!$E$2:$E$305,'BALANCETE_LONG'!$A$2:$A$305,A24)</x:f>
        <x:v>278.40500000000003</x:v>
      </x:c>
      <x:c r="C24" s="26" t="n">
        <x:f>SUMIFS('BALANCETE_LONG'!$F$2:$F$305,'BALANCETE_LONG'!$A$2:$A$305,A24)</x:f>
        <x:v>278.40500000000003</x:v>
      </x:c>
      <x:c r="D24" s="26" t="n">
        <x:f>B24-C24</x:f>
        <x:v>0</x:v>
      </x:c>
      <x:c r="E24" s="26" t="n">
        <x:v>0.001</x:v>
      </x:c>
      <x:c r="F24" t="str">
        <x:f>IF(ABS(D24)&lt;=E24,"OK","REVISAR")</x:f>
        <x:v>OK</x:v>
      </x:c>
    </x:row>
  </x:sheetData>
  <x:mergeCells>
    <x:mergeCell ref="A1:F1"/>
    <x:mergeCell ref="A2:F2"/>
  </x:mergeCells>
  <x:conditionalFormatting sqref="F6:F24">
    <x:cfRule type="containsText" dxfId="0" priority="1" operator="containsText" text="OK"/>
    <x:cfRule type="containsText" dxfId="1" priority="2" operator="containsText" text="REVISAR"/>
  </x:conditionalFormatting>
  <x:pageMargins left="0.7" right="0.7" top="0.75" bottom="0.75" header="0.3" footer="0.3"/>
</x:worksheet>
</file>