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606623f06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" sheetId="1" r:id="Rdf4bee3f4619450c"/>
    <x:sheet xmlns:r="http://schemas.openxmlformats.org/officeDocument/2006/relationships" name="LOJAS" sheetId="2" r:id="R27aaac56cf7a4e5d"/>
    <x:sheet xmlns:r="http://schemas.openxmlformats.org/officeDocument/2006/relationships" name="PREMISSAS" sheetId="3" r:id="Re830bf7850bc4565"/>
    <x:sheet xmlns:r="http://schemas.openxmlformats.org/officeDocument/2006/relationships" name="RAMP_UP_MENSAL" sheetId="4" r:id="Rbc5ef7a4a3064ff8"/>
    <x:sheet xmlns:r="http://schemas.openxmlformats.org/officeDocument/2006/relationships" name="RESUMO_ANUAL" sheetId="5" r:id="R74d99f1a8a894066"/>
    <x:sheet xmlns:r="http://schemas.openxmlformats.org/officeDocument/2006/relationships" name="FONTES_E_USOS" sheetId="6" r:id="R038c9e46faf1417b"/>
    <x:sheet xmlns:r="http://schemas.openxmlformats.org/officeDocument/2006/relationships" name="DIVIDA_PRO_FORMA" sheetId="7" r:id="R4dd9d0c5aa0040df"/>
    <x:sheet xmlns:r="http://schemas.openxmlformats.org/officeDocument/2006/relationships" name="CENARIOS" sheetId="8" r:id="R2e80176437804a55"/>
    <x:sheet xmlns:r="http://schemas.openxmlformats.org/officeDocument/2006/relationships" name="CHECKS" sheetId="9" r:id="R60c5bf51c237495c"/>
    <x:sheet xmlns:r="http://schemas.openxmlformats.org/officeDocument/2006/relationships" name="FONTES_AUDIT" sheetId="10" r:id="Re498def3e05a4680"/>
  </x:sheets>
</x:workbook>
</file>

<file path=xl/comments1.xml><?xml version="1.0" encoding="utf-8"?>
<x:comments xmlns:x="http://schemas.openxmlformats.org/spreadsheetml/2006/main">
  <x:authors>
    <x:author>tc={02989167-4390-611E-8998-A314D4E73CC3}</x:author>
    <x:author>tc={AA5CD9BA-E649-56CC-A03A-AD4B91265A49}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Caso sintético Rede Horizonte | Receita estabilizada = venda anual após 18 meses de operação; estimativa da Diretoria Comercial.</x:t>
        </x:r>
      </x:text>
    </x:comment>
    <x:comment ref="M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Caso sintético Rede Horizonte | Orçamentos preliminares de fornecedores e obras; não são propostas vinculantes.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&quot;R$&quot; #,##0.0;[Red](&quot;R$&quot; #,##0.0);-"/>
    <x:numFmt numFmtId="201" formatCode="#,##0.0;[Red](#,##0.0);-"/>
    <x:numFmt numFmtId="202" formatCode="0.0%;[Red](0.0%);-"/>
    <x:numFmt numFmtId="203" formatCode="mmm/yyyy"/>
    <x:numFmt numFmtId="204" formatCode="#,##0;[Red](#,##0);-"/>
    <x:numFmt numFmtId="205" formatCode="dd/mm/yyyy"/>
    <x:numFmt numFmtId="206" formatCode="mmm/yy"/>
    <x:numFmt numFmtId="207" formatCode="yyyy&quot;A&quot;"/>
    <x:numFmt numFmtId="208" formatCode="yyyy&quot;E&quot;"/>
    <x:numFmt numFmtId="209" formatCode="0.00x;[Red](0.00x);-"/>
    <x:numFmt numFmtId="210" formatCode="0 &quot;meses&quot;"/>
  </x:numFmts>
  <x:fonts count="11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8736E"/>
      <x:name val="Carlito"/>
    </x:font>
    <x:font>
      <x:b/>
      <x:sz val="11"/>
      <x:color rgb="FF17463A"/>
      <x:name val="Carlito"/>
    </x:font>
    <x:font>
      <x:b/>
      <x:sz val="11"/>
      <x:color rgb="FFFFFFFF"/>
      <x:name val="Carlito"/>
    </x:font>
    <x:font>
      <x:b/>
      <x:sz val="11"/>
      <x:color rgb="FF68736E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1E2522"/>
      <x:name val="Carlito"/>
    </x:font>
    <x:font>
      <x:sz val="11"/>
      <x:color rgb="FF0000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63A"/>
      </x:patternFill>
    </x:fill>
    <x:fill>
      <x:patternFill patternType="solid">
        <x:fgColor rgb="FFF6F3EA"/>
      </x:patternFill>
    </x:fill>
    <x:fill>
      <x:patternFill patternType="solid">
        <x:fgColor rgb="FFFFF2CC"/>
      </x:patternFill>
    </x:fill>
    <x:fill>
      <x:patternFill patternType="solid">
        <x:fgColor rgb="FFE9E1CF"/>
      </x:patternFill>
    </x:fill>
  </x:fills>
  <x:borders count="6">
    <x:border/>
    <x:border>
      <x:bottom style="thin">
        <x:color rgb="FFC9D2CE"/>
      </x:bottom>
    </x:border>
    <x:border>
      <x:top style="thin">
        <x:color rgb="FFC9D2CE"/>
      </x:top>
      <x:bottom style="thin">
        <x:color rgb="FFC9D2CE"/>
      </x:bottom>
    </x:border>
    <x:border>
      <x:top style="thin">
        <x:color rgb="FFC9D2CE"/>
      </x:top>
    </x:border>
    <x:border>
      <x:bottom style="thin">
        <x:color rgb="FF17463A"/>
      </x:bottom>
    </x:border>
    <x:border>
      <x:top style="thin">
        <x:color rgb="FF17463A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5" fillId="0" borderId="0" xfId="0" applyNumberFormat="1" applyFont="1" applyFill="1" applyBorder="1"/>
    <x:xf numFmtId="202" fontId="6" fillId="0" borderId="0" xfId="0" applyNumberFormat="1" applyFont="1" applyFill="1" applyBorder="1"/>
    <x:xf numFmtId="0" fontId="7" fillId="0" borderId="0" xfId="0" applyNumberFormat="1" applyFont="1" applyFill="1" applyBorder="1"/>
    <x:xf numFmtId="201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9" fillId="0" borderId="0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3" borderId="0" xfId="0" applyNumberFormat="1" applyFont="1" applyFill="1" applyBorder="1"/>
    <x:xf numFmtId="201" fontId="9" fillId="3" borderId="0" xfId="0" applyNumberFormat="1" applyFont="1" applyFill="1" applyBorder="1"/>
    <x:xf numFmtId="202" fontId="9" fillId="3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5" xfId="0" applyNumberFormat="1" applyFont="1" applyFill="1" applyBorder="1"/>
    <x:xf numFmtId="201" fontId="8" fillId="0" borderId="5" xfId="0" applyNumberFormat="1" applyFont="1" applyFill="1" applyBorder="1"/>
    <x:xf numFmtId="202" fontId="8" fillId="0" borderId="5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9" fillId="0" borderId="0" xfId="0" applyNumberFormat="1" applyFont="1" applyFill="1" applyBorder="1"/>
    <x:xf numFmtId="204" fontId="9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6" fontId="8" fillId="5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7" fontId="8" fillId="5" borderId="4" xfId="0" applyNumberFormat="1" applyFont="1" applyFill="1" applyBorder="1" applyAlignment="1">
      <x:alignment vertical="center" wrapText="1"/>
    </x:xf>
    <x:xf numFmtId="208" fontId="8" fillId="5" borderId="4" xfId="0" applyNumberFormat="1" applyFont="1" applyFill="1" applyBorder="1" applyAlignment="1">
      <x:alignment vertical="center" wrapText="1"/>
    </x:xf>
    <x:xf numFmtId="201" fontId="4" fillId="2" borderId="0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/>
    <x:xf numFmtId="209" fontId="6" fillId="0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3" borderId="0" xfId="0" applyNumberFormat="1" applyFont="1" applyFill="1" applyBorder="1"/>
    <x:xf numFmtId="210" fontId="9" fillId="3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8e9aa61464521" /><Relationship Type="http://schemas.openxmlformats.org/officeDocument/2006/relationships/theme" Target="/xl/theme/theme1.xml" Id="R7547f62c86db4d56" /><Relationship Type="http://schemas.openxmlformats.org/officeDocument/2006/relationships/sharedStrings" Target="/xl/sharedStrings.xml" Id="Re5dd763238194509" /><Relationship Type="http://schemas.openxmlformats.org/officeDocument/2006/relationships/worksheet" Target="/xl/worksheets/sheet1.xml" Id="Rdf4bee3f4619450c" /><Relationship Type="http://schemas.openxmlformats.org/officeDocument/2006/relationships/worksheet" Target="/xl/worksheets/sheet2.xml" Id="R27aaac56cf7a4e5d" /><Relationship Type="http://schemas.openxmlformats.org/officeDocument/2006/relationships/worksheet" Target="/xl/worksheets/sheet3.xml" Id="Re830bf7850bc4565" /><Relationship Type="http://schemas.openxmlformats.org/officeDocument/2006/relationships/worksheet" Target="/xl/worksheets/sheet4.xml" Id="Rbc5ef7a4a3064ff8" /><Relationship Type="http://schemas.openxmlformats.org/officeDocument/2006/relationships/worksheet" Target="/xl/worksheets/sheet5.xml" Id="R74d99f1a8a894066" /><Relationship Type="http://schemas.openxmlformats.org/officeDocument/2006/relationships/worksheet" Target="/xl/worksheets/sheet6.xml" Id="R038c9e46faf1417b" /><Relationship Type="http://schemas.openxmlformats.org/officeDocument/2006/relationships/worksheet" Target="/xl/worksheets/sheet7.xml" Id="R4dd9d0c5aa0040df" /><Relationship Type="http://schemas.openxmlformats.org/officeDocument/2006/relationships/worksheet" Target="/xl/worksheets/sheet8.xml" Id="R2e80176437804a55" /><Relationship Type="http://schemas.openxmlformats.org/officeDocument/2006/relationships/worksheet" Target="/xl/worksheets/sheet9.xml" Id="R60c5bf51c237495c" /><Relationship Type="http://schemas.openxmlformats.org/officeDocument/2006/relationships/worksheet" Target="/xl/worksheets/sheet10.xml" Id="Re498def3e05a4680" /><Relationship Type="http://schemas.microsoft.com/office/2017/10/relationships/person" Target="/xl/persons/person.xml" Id="R2f692a3cf2e844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a151d597d249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e EBITDA consolidados (R$ mm)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Receita consolidada</c:v>
          </c:tx>
          <c:cat>
            <c:strRef>
              <c:f>'RESUMO_ANUAL'!$I$28:$I$33</c:f>
              <c:strCache>
                <c:ptCount val="0"/>
              </c:strCache>
            </c:strRef>
          </c:cat>
          <c:val>
            <c:numRef>
              <c:f>'RESUMO_ANUAL'!$J$28:$J$33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EBITDA consolidado</c:v>
          </c:tx>
          <c:cat>
            <c:strRef>
              <c:f>'RESUMO_ANUAL'!$I$28:$I$33</c:f>
              <c:strCache>
                <c:ptCount val="0"/>
              </c:strCache>
            </c:strRef>
          </c:cat>
          <c:val>
            <c:numRef>
              <c:f>'RESUMO_ANUAL'!$K$28:$K$33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a151d597d2499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3A83A4E-E6E0-4425-8FB6-87A825FE686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8-17T18:27:04.263" personId="{13A83A4E-E6E0-4425-8FB6-87A825FE6863}" id="{02989167-4390-611E-8998-A314D4E73CC3}">
    <xltc:text>Caso sintético Rede Horizonte | Receita estabilizada = venda anual após 18 meses de operação; estimativa da Diretoria Comercial.</xltc:text>
  </xltc:threadedComment>
  <xltc:threadedComment ref="M10" dT="2026-08-17T18:27:04.263" personId="{13A83A4E-E6E0-4425-8FB6-87A825FE6863}" id="{AA5CD9BA-E649-56CC-A03A-AD4B91265A49}">
    <xltc:text>Caso sintético Rede Horizonte | Orçamentos preliminares de fornecedores e obras; não são propostas vinculantes.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a599581f2b446d2" /><Relationship Type="http://schemas.openxmlformats.org/officeDocument/2006/relationships/vmlDrawing" Target="/xl/drawings/vmldrawing.vml" Id="R8946c99e17024ee8" /><Relationship Type="http://schemas.microsoft.com/office/2017/10/relationships/threadedComment" Target="/xl/threadedcomments/threadedcomment.xml" Id="R1992a4d27ad745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9f365665e934a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" t="str">
        <x:v>BUSINESS PLAN | EXPANSÃO DE 3 LOJAS</x:v>
      </x:c>
      <x:c r="B1" s="3" t="str">
        <x:v>BUSINESS PLAN | EXPANSÃO DE 3 LOJAS</x:v>
      </x:c>
      <x:c r="C1" s="3" t="str">
        <x:v>BUSINESS PLAN | EXPANSÃO DE 3 LOJAS</x:v>
      </x:c>
      <x:c r="D1" s="3" t="str">
        <x:v>BUSINESS PLAN | EXPANSÃO DE 3 LOJAS</x:v>
      </x:c>
      <x:c r="E1" s="3" t="str">
        <x:v>BUSINESS PLAN | EXPANSÃO DE 3 LOJAS</x:v>
      </x:c>
      <x:c r="F1" s="3" t="str">
        <x:v>BUSINESS PLAN | EXPANSÃO DE 3 LOJAS</x:v>
      </x:c>
      <x:c r="G1" s="3" t="str">
        <x:v>BUSINESS PLAN | EXPANSÃO DE 3 LOJAS</x:v>
      </x:c>
      <x:c r="H1" s="3" t="str">
        <x:v>BUSINESS PLAN | EXPANSÃO DE 3 LOJAS</x:v>
      </x:c>
      <x:c r="I1" s="3" t="str">
        <x:v>BUSINESS PLAN | EXPANSÃO DE 3 LOJAS</x:v>
      </x:c>
      <x:c r="J1" s="3" t="str">
        <x:v>BUSINESS PLAN | EXPANSÃO DE 3 LOJAS</x:v>
      </x:c>
    </x:row>
    <x:row r="2" ht="28" customHeight="1">
      <x:c r="A2" s="7" t="str">
        <x:v>Versão interna da companhia - base agosto/2026 - valores em R$ milhões, salvo indicação</x:v>
      </x:c>
      <x:c r="B2" s="7" t="str">
        <x:v>Versão interna da companhia - base agosto/2026 - valores em R$ milhões, salvo indicação</x:v>
      </x:c>
      <x:c r="C2" s="7" t="str">
        <x:v>Versão interna da companhia - base agosto/2026 - valores em R$ milhões, salvo indicação</x:v>
      </x:c>
      <x:c r="D2" s="7" t="str">
        <x:v>Versão interna da companhia - base agosto/2026 - valores em R$ milhões, salvo indicação</x:v>
      </x:c>
      <x:c r="E2" s="7" t="str">
        <x:v>Versão interna da companhia - base agosto/2026 - valores em R$ milhões, salvo indicação</x:v>
      </x:c>
      <x:c r="F2" s="7" t="str">
        <x:v>Versão interna da companhia - base agosto/2026 - valores em R$ milhões, salvo indicação</x:v>
      </x:c>
      <x:c r="G2" s="7" t="str">
        <x:v>Versão interna da companhia - base agosto/2026 - valores em R$ milhões, salvo indicação</x:v>
      </x:c>
      <x:c r="H2" s="7" t="str">
        <x:v>Versão interna da companhia - base agosto/2026 - valores em R$ milhões, salvo indicação</x:v>
      </x:c>
      <x:c r="I2" s="7" t="str">
        <x:v>Versão interna da companhia - base agosto/2026 - valores em R$ milhões, salvo indicação</x:v>
      </x:c>
      <x:c r="J2" s="7" t="str">
        <x:v>Versão interna da companhia - base agosto/2026 - valores em R$ milhões, salvo indicação</x:v>
      </x:c>
    </x:row>
    <x:row r="5">
      <x:c r="A5" s="10" t="str">
        <x:v>Empresa</x:v>
      </x:c>
      <x:c r="B5" s="11" t="str">
        <x:v>Rede Horizonte Alimentos S.A.</x:v>
      </x:c>
    </x:row>
    <x:row r="6">
      <x:c r="A6" s="12" t="str">
        <x:v>Projeto</x:v>
      </x:c>
      <x:c r="B6" s="13" t="str">
        <x:v>Abertura de lojas em Franca, Araraquara e São Carlos</x:v>
      </x:c>
    </x:row>
    <x:row r="7">
      <x:c r="A7" s="12" t="str">
        <x:v>Aberturas</x:v>
      </x:c>
      <x:c r="B7" s="13" t="str">
        <x:v>abr/2027, jul/2027 e out/2027</x:v>
      </x:c>
    </x:row>
    <x:row r="8">
      <x:c r="A8" s="12" t="str">
        <x:v>Investimento total</x:v>
      </x:c>
      <x:c r="B8" s="14" t="n">
        <x:v>49</x:v>
      </x:c>
    </x:row>
    <x:row r="9">
      <x:c r="A9" s="12" t="str">
        <x:v>Dívida para expansão</x:v>
      </x:c>
      <x:c r="B9" s="14" t="n">
        <x:v>35</x:v>
      </x:c>
    </x:row>
    <x:row r="10">
      <x:c r="A10" s="12" t="str">
        <x:v>Equity dos acionistas</x:v>
      </x:c>
      <x:c r="B10" s="14" t="n">
        <x:v>10</x:v>
      </x:c>
    </x:row>
    <x:row r="11">
      <x:c r="A11" s="12" t="str">
        <x:v>Caixa da companhia</x:v>
      </x:c>
      <x:c r="B11" s="14" t="n">
        <x:v>4</x:v>
      </x:c>
    </x:row>
    <x:row r="12">
      <x:c r="A12" s="12" t="str">
        <x:v>Nova dívida total</x:v>
      </x:c>
      <x:c r="B12" s="14" t="n">
        <x:v>54</x:v>
      </x:c>
    </x:row>
    <x:row r="13">
      <x:c r="A13" s="12" t="str">
        <x:v>Refinanciamento incluído</x:v>
      </x:c>
      <x:c r="B13" s="14" t="n">
        <x:v>19</x:v>
      </x:c>
    </x:row>
    <x:row r="14">
      <x:c r="A14" s="15" t="str">
        <x:v>Versão</x:v>
      </x:c>
      <x:c r="B14" s="16" t="str">
        <x:v>v3.2 - Diretoria - 14/08/2026</x:v>
      </x:c>
    </x:row>
    <x:row r="17">
      <x:c r="A17" s="18" t="str">
        <x:v>Resultados esperados do projeto</x:v>
      </x:c>
      <x:c r="B17" s="18" t="str">
        <x:v>Resultados esperados do projeto</x:v>
      </x:c>
      <x:c r="C17" s="18" t="str">
        <x:v>Resultados esperados do projeto</x:v>
      </x:c>
      <x:c r="D17" s="18" t="str">
        <x:v>Resultados esperados do projeto</x:v>
      </x:c>
      <x:c r="E17" s="18" t="str">
        <x:v>Resultados esperados do projeto</x:v>
      </x:c>
      <x:c r="F17" s="18" t="str">
        <x:v>Resultados esperados do projeto</x:v>
      </x:c>
      <x:c r="G17" s="18" t="str">
        <x:v>Resultados esperados do projeto</x:v>
      </x:c>
      <x:c r="H17" s="18" t="str">
        <x:v>Resultados esperados do projeto</x:v>
      </x:c>
      <x:c r="I17" s="18" t="str">
        <x:v>Resultados esperados do projeto</x:v>
      </x:c>
      <x:c r="J17" s="18" t="str">
        <x:v>Resultados esperados do projeto</x:v>
      </x:c>
    </x:row>
    <x:row r="19">
      <x:c r="A19" s="21" t="str">
        <x:v>Receita estabilizada</x:v>
      </x:c>
      <x:c r="B19" s="19" t="n">
        <x:v>94</x:v>
      </x:c>
      <x:c r="C19" s="21" t="str">
        <x:v>EBITDA estabilizado</x:v>
      </x:c>
      <x:c r="D19" s="19" t="n">
        <x:v>13.2</x:v>
      </x:c>
      <x:c r="E19" s="21" t="str">
        <x:v>Prazo de ramp-up</x:v>
      </x:c>
      <x:c r="F19" t="str">
        <x:v>18 meses</x:v>
      </x:c>
      <x:c r="G19" s="21" t="str">
        <x:v>ROIC EBITDA</x:v>
      </x:c>
      <x:c r="H19" s="22" t="n">
        <x:f>D19/B19</x:f>
        <x:v>0.1404255319148936</x:v>
      </x:c>
      <x:c r="I19" s="23" t="str">
        <x:v>Capex / loja</x:v>
      </x:c>
      <x:c r="J19" s="24" t="n">
        <x:f>'LOJAS'!M10/3</x:f>
        <x:v>16.333333333333332</x:v>
      </x:c>
    </x:row>
    <x:row r="22">
      <x:c r="A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B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C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D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E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F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G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H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I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J22" s="28" t="str">
        <x:v>Uso interno e exclusivamente sintético. Premissas comerciais não são contratos, laudos ou garantias de desempenho. O modelo precisa ser lido junto com os documentos contábeis, mapa de dívida e estudos de implantação.</x:v>
      </x:c>
    </x:row>
    <x:row r="23">
      <x:c r="A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B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C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D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E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F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G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H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I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J23" s="28" t="str">
        <x:v>Uso interno e exclusivamente sintético. Premissas comerciais não são contratos, laudos ou garantias de desempenho. O modelo precisa ser lido junto com os documentos contábeis, mapa de dívida e estudos de implantação.</x:v>
      </x:c>
    </x:row>
    <x:row r="24">
      <x:c r="A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B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C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D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E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F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G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H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I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  <x:c r="J24" s="28" t="str">
        <x:v>Uso interno e exclusivamente sintético. Premissas comerciais não são contratos, laudos ou garantias de desempenho. O modelo precisa ser lido junto com os documentos contábeis, mapa de dívida e estudos de implantação.</x:v>
      </x:c>
    </x:row>
  </x:sheetData>
  <x:mergeCells>
    <x:mergeCell ref="A1:J1"/>
    <x:mergeCell ref="A2:J2"/>
    <x:mergeCell ref="A17:J17"/>
    <x:mergeCell ref="A22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3" t="str">
        <x:v>PREMISSAS POR LOJA</x:v>
      </x:c>
      <x:c r="B1" s="3" t="str">
        <x:v>PREMISSAS POR LOJA</x:v>
      </x:c>
      <x:c r="C1" s="3" t="str">
        <x:v>PREMISSAS POR LOJA</x:v>
      </x:c>
      <x:c r="D1" s="3" t="str">
        <x:v>PREMISSAS POR LOJA</x:v>
      </x:c>
      <x:c r="E1" s="3" t="str">
        <x:v>PREMISSAS POR LOJA</x:v>
      </x:c>
      <x:c r="F1" s="3" t="str">
        <x:v>PREMISSAS POR LOJA</x:v>
      </x:c>
      <x:c r="G1" s="3" t="str">
        <x:v>PREMISSAS POR LOJA</x:v>
      </x:c>
      <x:c r="H1" s="3" t="str">
        <x:v>PREMISSAS POR LOJA</x:v>
      </x:c>
      <x:c r="I1" s="3" t="str">
        <x:v>PREMISSAS POR LOJA</x:v>
      </x:c>
      <x:c r="J1" s="3" t="str">
        <x:v>PREMISSAS POR LOJA</x:v>
      </x:c>
      <x:c r="K1" s="3" t="str">
        <x:v>PREMISSAS POR LOJA</x:v>
      </x:c>
      <x:c r="L1" s="3" t="str">
        <x:v>PREMISSAS POR LOJA</x:v>
      </x:c>
      <x:c r="M1" s="3" t="str">
        <x:v>PREMISSAS POR LOJA</x:v>
      </x:c>
    </x:row>
    <x:row r="2" ht="28" customHeight="1">
      <x:c r="A2" s="7" t="str">
        <x:v>Receita estabilizada, margem e orçamento de implantação</x:v>
      </x:c>
      <x:c r="B2" s="7" t="str">
        <x:v>Receita estabilizada, margem e orçamento de implantação</x:v>
      </x:c>
      <x:c r="C2" s="7" t="str">
        <x:v>Receita estabilizada, margem e orçamento de implantação</x:v>
      </x:c>
      <x:c r="D2" s="7" t="str">
        <x:v>Receita estabilizada, margem e orçamento de implantação</x:v>
      </x:c>
      <x:c r="E2" s="7" t="str">
        <x:v>Receita estabilizada, margem e orçamento de implantação</x:v>
      </x:c>
      <x:c r="F2" s="7" t="str">
        <x:v>Receita estabilizada, margem e orçamento de implantação</x:v>
      </x:c>
      <x:c r="G2" s="7" t="str">
        <x:v>Receita estabilizada, margem e orçamento de implantação</x:v>
      </x:c>
      <x:c r="H2" s="7" t="str">
        <x:v>Receita estabilizada, margem e orçamento de implantação</x:v>
      </x:c>
      <x:c r="I2" s="7" t="str">
        <x:v>Receita estabilizada, margem e orçamento de implantação</x:v>
      </x:c>
      <x:c r="J2" s="7" t="str">
        <x:v>Receita estabilizada, margem e orçamento de implantação</x:v>
      </x:c>
      <x:c r="K2" s="7" t="str">
        <x:v>Receita estabilizada, margem e orçamento de implantação</x:v>
      </x:c>
      <x:c r="L2" s="7" t="str">
        <x:v>Receita estabilizada, margem e orçamento de implantação</x:v>
      </x:c>
      <x:c r="M2" s="7" t="str">
        <x:v>Receita estabilizada, margem e orçamento de implantação</x:v>
      </x:c>
    </x:row>
    <x:row r="5">
      <x:c r="A5" s="33" t="str">
        <x:v>Loja</x:v>
      </x:c>
      <x:c r="B5" s="33" t="str">
        <x:v>Cidade</x:v>
      </x:c>
      <x:c r="C5" s="33" t="str">
        <x:v>Abertura</x:v>
      </x:c>
      <x:c r="D5" s="33" t="str">
        <x:v>Receita estabilizada</x:v>
      </x:c>
      <x:c r="E5" s="33" t="str">
        <x:v>Margem EBITDA</x:v>
      </x:c>
      <x:c r="F5" s="33" t="str">
        <x:v>Obras</x:v>
      </x:c>
      <x:c r="G5" s="33" t="str">
        <x:v>Refrigeração/equip.</x:v>
      </x:c>
      <x:c r="H5" s="33" t="str">
        <x:v>Mobiliário</x:v>
      </x:c>
      <x:c r="I5" s="33" t="str">
        <x:v>TI/segurança</x:v>
      </x:c>
      <x:c r="J5" s="33" t="str">
        <x:v>Pré-abertura</x:v>
      </x:c>
      <x:c r="K5" s="33" t="str">
        <x:v>Capital de giro</x:v>
      </x:c>
      <x:c r="L5" s="33" t="str">
        <x:v>Contingência</x:v>
      </x:c>
      <x:c r="M5" s="33" t="str">
        <x:v>Investimento total</x:v>
      </x:c>
    </x:row>
    <x:row r="6">
      <x:c r="A6" t="str">
        <x:v>Loja 13</x:v>
      </x:c>
      <x:c r="B6" t="str">
        <x:v>Franca</x:v>
      </x:c>
      <x:c r="C6" s="38" t="n">
        <x:v>46478</x:v>
      </x:c>
      <x:c r="D6" s="39" t="n">
        <x:v>32</x:v>
      </x:c>
      <x:c r="E6" s="40" t="n">
        <x:v>0.142</x:v>
      </x:c>
      <x:c r="F6" s="39" t="n">
        <x:v>6.6</x:v>
      </x:c>
      <x:c r="G6" s="39" t="n">
        <x:v>3.2</x:v>
      </x:c>
      <x:c r="H6" s="39" t="n">
        <x:v>0.9</x:v>
      </x:c>
      <x:c r="I6" s="39" t="n">
        <x:v>0.4</x:v>
      </x:c>
      <x:c r="J6" s="39" t="n">
        <x:v>0.6</x:v>
      </x:c>
      <x:c r="K6" s="39" t="n">
        <x:v>1.7</x:v>
      </x:c>
      <x:c r="L6" s="39" t="n">
        <x:v>1.2</x:v>
      </x:c>
      <x:c r="M6" s="19" t="n">
        <x:f>SUM(F6:L6)</x:f>
        <x:v>14.6</x:v>
      </x:c>
    </x:row>
    <x:row r="7">
      <x:c r="A7" t="str">
        <x:v>Loja 14</x:v>
      </x:c>
      <x:c r="B7" t="str">
        <x:v>Araraquara</x:v>
      </x:c>
      <x:c r="C7" s="38" t="n">
        <x:v>46569</x:v>
      </x:c>
      <x:c r="D7" s="39" t="n">
        <x:v>29</x:v>
      </x:c>
      <x:c r="E7" s="40" t="n">
        <x:v>0.138</x:v>
      </x:c>
      <x:c r="F7" s="39" t="n">
        <x:v>6.8</x:v>
      </x:c>
      <x:c r="G7" s="39" t="n">
        <x:v>3.4</x:v>
      </x:c>
      <x:c r="H7" s="39" t="n">
        <x:v>1</x:v>
      </x:c>
      <x:c r="I7" s="39" t="n">
        <x:v>0.4</x:v>
      </x:c>
      <x:c r="J7" s="39" t="n">
        <x:v>0.7</x:v>
      </x:c>
      <x:c r="K7" s="39" t="n">
        <x:v>1.7</x:v>
      </x:c>
      <x:c r="L7" s="39" t="n">
        <x:v>1.2</x:v>
      </x:c>
      <x:c r="M7" s="19" t="n">
        <x:f>SUM(F7:L7)</x:f>
        <x:v>15.199999999999998</x:v>
      </x:c>
    </x:row>
    <x:row r="8">
      <x:c r="A8" t="str">
        <x:v>Loja 15</x:v>
      </x:c>
      <x:c r="B8" t="str">
        <x:v>São Carlos</x:v>
      </x:c>
      <x:c r="C8" s="38" t="n">
        <x:v>46661</x:v>
      </x:c>
      <x:c r="D8" s="39" t="n">
        <x:v>33</x:v>
      </x:c>
      <x:c r="E8" s="40" t="n">
        <x:v>0.145</x:v>
      </x:c>
      <x:c r="F8" s="39" t="n">
        <x:v>7</x:v>
      </x:c>
      <x:c r="G8" s="39" t="n">
        <x:v>3.6</x:v>
      </x:c>
      <x:c r="H8" s="39" t="n">
        <x:v>1.1</x:v>
      </x:c>
      <x:c r="I8" s="39" t="n">
        <x:v>0.5</x:v>
      </x:c>
      <x:c r="J8" s="39" t="n">
        <x:v>0.8</x:v>
      </x:c>
      <x:c r="K8" s="39" t="n">
        <x:v>1.7</x:v>
      </x:c>
      <x:c r="L8" s="39" t="n">
        <x:v>1.1</x:v>
      </x:c>
      <x:c r="M8" s="19" t="n">
        <x:f>SUM(F8:L8)</x:f>
        <x:v>15.799999999999999</x:v>
      </x:c>
    </x:row>
    <x:row r="9">
      <x:c r="A9" t="str">
        <x:v>Compartilhado</x:v>
      </x:c>
      <x:c r="B9" t="str">
        <x:v>CD / corporativo</x:v>
      </x:c>
      <x:c r="C9" s="38" t="n">
        <x:v>46357</x:v>
      </x:c>
      <x:c r="D9" s="39" t="n">
        <x:v>0</x:v>
      </x:c>
      <x:c r="E9" s="40" t="n">
        <x:v>0</x:v>
      </x:c>
      <x:c r="F9" s="39" t="n">
        <x:v>0.8</x:v>
      </x:c>
      <x:c r="G9" s="39" t="n">
        <x:v>1.4</x:v>
      </x:c>
      <x:c r="H9" s="39" t="n">
        <x:v>0</x:v>
      </x:c>
      <x:c r="I9" s="39" t="n">
        <x:v>1.2</x:v>
      </x:c>
      <x:c r="J9" s="39" t="n">
        <x:v>0</x:v>
      </x:c>
      <x:c r="K9" s="39" t="n">
        <x:v>0</x:v>
      </x:c>
      <x:c r="L9" s="39" t="n">
        <x:v>0</x:v>
      </x:c>
      <x:c r="M9" s="19" t="n">
        <x:f>SUM(F9:L9)</x:f>
        <x:v>3.4000000000000004</x:v>
      </x:c>
    </x:row>
    <x:row r="10">
      <x:c r="A10" s="44" t="str">
        <x:v>TOTAL</x:v>
      </x:c>
      <x:c r="B10" s="44"/>
      <x:c r="C10" s="44"/>
      <x:c r="D10" s="45" t="n">
        <x:f>SUM(D6:D9)</x:f>
        <x:v>94</x:v>
      </x:c>
      <x:c r="E10" s="46"/>
      <x:c r="F10" s="45" t="n">
        <x:f>SUM(F6:F9)</x:f>
        <x:v>21.2</x:v>
      </x:c>
      <x:c r="G10" s="45" t="n">
        <x:f>SUM(G6:G9)</x:f>
        <x:v>11.6</x:v>
      </x:c>
      <x:c r="H10" s="45" t="n">
        <x:f>SUM(H6:H9)</x:f>
        <x:v>3</x:v>
      </x:c>
      <x:c r="I10" s="45" t="n">
        <x:f>SUM(I6:I9)</x:f>
        <x:v>2.5</x:v>
      </x:c>
      <x:c r="J10" s="45" t="n">
        <x:f>SUM(J6:J9)</x:f>
        <x:v>2.0999999999999996</x:v>
      </x:c>
      <x:c r="K10" s="45" t="n">
        <x:f>SUM(K6:K9)</x:f>
        <x:v>5.1</x:v>
      </x:c>
      <x:c r="L10" s="45" t="n">
        <x:f>SUM(L6:L9)</x:f>
        <x:v>3.5</x:v>
      </x:c>
      <x:c r="M10" s="45" t="n">
        <x:f>SUM(M6:M9)</x:f>
        <x:v>48.99999999999999</x:v>
      </x:c>
    </x:row>
  </x:sheetData>
  <x:mergeCells>
    <x:mergeCell ref="A1:M1"/>
    <x:mergeCell ref="A2:M2"/>
  </x:mergeCells>
  <x:pageMargins left="0.7" right="0.7" top="0.75" bottom="0.75" header="0.3" footer="0.3"/>
  <x:legacyDrawing xmlns:r="http://schemas.openxmlformats.org/officeDocument/2006/relationships" r:id="R8946c99e17024ee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26" hidden="0" customWidth="1"/>
    <x:col min="5" max="5" width="16" hidden="0" customWidth="1"/>
    <x:col min="6" max="6" width="36" hidden="0" customWidth="1"/>
  </x:cols>
  <x:sheetData>
    <x:row r="1" ht="30" customHeight="1">
      <x:c r="A1" s="3" t="str">
        <x:v>PREMISSAS DO MODELO</x:v>
      </x:c>
      <x:c r="B1" s="3" t="str">
        <x:v>PREMISSAS DO MODELO</x:v>
      </x:c>
      <x:c r="C1" s="3" t="str">
        <x:v>PREMISSAS DO MODELO</x:v>
      </x:c>
      <x:c r="D1" s="3" t="str">
        <x:v>PREMISSAS DO MODELO</x:v>
      </x:c>
      <x:c r="E1" s="3" t="str">
        <x:v>PREMISSAS DO MODELO</x:v>
      </x:c>
      <x:c r="F1" s="3" t="str">
        <x:v>PREMISSAS DO MODELO</x:v>
      </x:c>
    </x:row>
    <x:row r="2" ht="28" customHeight="1">
      <x:c r="A2" s="7" t="str">
        <x:v>Inputs editáveis em azul. O ramp-up é aplicado mês a mês a cada abertura.</x:v>
      </x:c>
      <x:c r="B2" s="7" t="str">
        <x:v>Inputs editáveis em azul. O ramp-up é aplicado mês a mês a cada abertura.</x:v>
      </x:c>
      <x:c r="C2" s="7" t="str">
        <x:v>Inputs editáveis em azul. O ramp-up é aplicado mês a mês a cada abertura.</x:v>
      </x:c>
      <x:c r="D2" s="7" t="str">
        <x:v>Inputs editáveis em azul. O ramp-up é aplicado mês a mês a cada abertura.</x:v>
      </x:c>
      <x:c r="E2" s="7" t="str">
        <x:v>Inputs editáveis em azul. O ramp-up é aplicado mês a mês a cada abertura.</x:v>
      </x:c>
      <x:c r="F2" s="7" t="str">
        <x:v>Inputs editáveis em azul. O ramp-up é aplicado mês a mês a cada abertura.</x:v>
      </x:c>
    </x:row>
    <x:row r="5">
      <x:c r="A5" s="18" t="str">
        <x:v>Premissas financeiras</x:v>
      </x:c>
      <x:c r="B5" s="18" t="str">
        <x:v>Premissas financeiras</x:v>
      </x:c>
      <x:c r="C5" s="18" t="str">
        <x:v>Premissas financeiras</x:v>
      </x:c>
      <x:c r="D5" s="18" t="str">
        <x:v>Premissas financeiras</x:v>
      </x:c>
      <x:c r="E5" s="18" t="str">
        <x:v>Premissas financeiras</x:v>
      </x:c>
      <x:c r="F5" s="18" t="str">
        <x:v>Premissas financeiras</x:v>
      </x:c>
    </x:row>
    <x:row r="7">
      <x:c r="A7" s="33" t="str">
        <x:v>Premissa</x:v>
      </x:c>
      <x:c r="B7" s="33" t="str">
        <x:v>Valor</x:v>
      </x:c>
      <x:c r="C7" s="33" t="str">
        <x:v>Unidade</x:v>
      </x:c>
      <x:c r="D7" s="33" t="str">
        <x:v>Fonte/owner</x:v>
      </x:c>
      <x:c r="E7" s="33" t="str">
        <x:v>Data-base</x:v>
      </x:c>
      <x:c r="F7" s="33" t="str">
        <x:v>Nota</x:v>
      </x:c>
    </x:row>
    <x:row r="8">
      <x:c r="A8" t="str">
        <x:v>Custo da dívida existente</x:v>
      </x:c>
      <x:c r="B8" s="40" t="n">
        <x:v>0.12</x:v>
      </x:c>
      <x:c r="C8" t="str">
        <x:v>% a.a.</x:v>
      </x:c>
      <x:c r="D8" t="str">
        <x:v>Tesouraria</x:v>
      </x:c>
      <x:c r="E8" s="48" t="n">
        <x:v>46234</x:v>
      </x:c>
      <x:c r="F8" s="51" t="str">
        <x:v>All-in estimado</x:v>
      </x:c>
    </x:row>
    <x:row r="9">
      <x:c r="A9" t="str">
        <x:v>Custo da nova dívida</x:v>
      </x:c>
      <x:c r="B9" s="40" t="n">
        <x:v>0.13</x:v>
      </x:c>
      <x:c r="C9" t="str">
        <x:v>% a.a.</x:v>
      </x:c>
      <x:c r="D9" t="str">
        <x:v>Diretoria Financeira</x:v>
      </x:c>
      <x:c r="E9" s="48" t="n">
        <x:v>46248</x:v>
      </x:c>
      <x:c r="F9" s="51" t="str">
        <x:v>CDI + 4,50%; CDI de longo prazo assumido</x:v>
      </x:c>
    </x:row>
    <x:row r="10">
      <x:c r="A10" t="str">
        <x:v>Prazo da nova dívida</x:v>
      </x:c>
      <x:c r="B10" s="50" t="n">
        <x:v>60</x:v>
      </x:c>
      <x:c r="C10" t="str">
        <x:v>meses</x:v>
      </x:c>
      <x:c r="D10" t="str">
        <x:v>Diretoria Financeira</x:v>
      </x:c>
      <x:c r="E10" s="48" t="n">
        <x:v>46248</x:v>
      </x:c>
      <x:c r="F10" s="51" t="str">
        <x:v>Indicativo</x:v>
      </x:c>
    </x:row>
    <x:row r="11">
      <x:c r="A11" t="str">
        <x:v>Carência de principal</x:v>
      </x:c>
      <x:c r="B11" s="50" t="n">
        <x:v>12</x:v>
      </x:c>
      <x:c r="C11" t="str">
        <x:v>meses</x:v>
      </x:c>
      <x:c r="D11" t="str">
        <x:v>Diretoria Financeira</x:v>
      </x:c>
      <x:c r="E11" s="48" t="n">
        <x:v>46248</x:v>
      </x:c>
      <x:c r="F11" s="51" t="str">
        <x:v>Indicativo</x:v>
      </x:c>
    </x:row>
    <x:row r="12">
      <x:c r="A12" t="str">
        <x:v>Amortização</x:v>
      </x:c>
      <x:c r="B12" s="50" t="n">
        <x:v>16</x:v>
      </x:c>
      <x:c r="C12" t="str">
        <x:v>parcelas trimestrais</x:v>
      </x:c>
      <x:c r="D12" t="str">
        <x:v>Diretoria Financeira</x:v>
      </x:c>
      <x:c r="E12" s="48" t="n">
        <x:v>46248</x:v>
      </x:c>
      <x:c r="F12" s="51" t="str">
        <x:v>Após carência</x:v>
      </x:c>
    </x:row>
    <x:row r="13">
      <x:c r="A13" t="str">
        <x:v>Imposto caixa</x:v>
      </x:c>
      <x:c r="B13" s="40" t="n">
        <x:v>0.34</x:v>
      </x:c>
      <x:c r="C13" t="str">
        <x:v>%</x:v>
      </x:c>
      <x:c r="D13" t="str">
        <x:v>Controladoria</x:v>
      </x:c>
      <x:c r="E13" s="48" t="n">
        <x:v>46234</x:v>
      </x:c>
      <x:c r="F13" s="51" t="str">
        <x:v>Taxa nominal; aplicação simplificada</x:v>
      </x:c>
    </x:row>
    <x:row r="14">
      <x:c r="A14" t="str">
        <x:v>Crescimento após estabilização</x:v>
      </x:c>
      <x:c r="B14" s="40" t="n">
        <x:v>0.05</x:v>
      </x:c>
      <x:c r="C14" t="str">
        <x:v>% a.a.</x:v>
      </x:c>
      <x:c r="D14" t="str">
        <x:v>Comercial</x:v>
      </x:c>
      <x:c r="E14" s="48" t="n">
        <x:v>46244</x:v>
      </x:c>
      <x:c r="F14" s="51" t="str">
        <x:v>A partir de 2030</x:v>
      </x:c>
    </x:row>
    <x:row r="15">
      <x:c r="A15" t="str">
        <x:v>Manutenção projeto / receita</x:v>
      </x:c>
      <x:c r="B15" s="40" t="n">
        <x:v>0.025</x:v>
      </x:c>
      <x:c r="C15" t="str">
        <x:v>%</x:v>
      </x:c>
      <x:c r="D15" t="str">
        <x:v>Operações</x:v>
      </x:c>
      <x:c r="E15" s="48" t="n">
        <x:v>46244</x:v>
      </x:c>
      <x:c r="F15" s="51" t="str">
        <x:v>Capex recorrente</x:v>
      </x:c>
    </x:row>
    <x:row r="18">
      <x:c r="A18" s="18" t="str">
        <x:v>Curva de ramp-up (mês após abertura)</x:v>
      </x:c>
      <x:c r="B18" s="18" t="str">
        <x:v>Curva de ramp-up (mês após abertura)</x:v>
      </x:c>
      <x:c r="C18" s="18" t="str">
        <x:v>Curva de ramp-up (mês após abertura)</x:v>
      </x:c>
      <x:c r="D18" s="18" t="str">
        <x:v>Curva de ramp-up (mês após abertura)</x:v>
      </x:c>
      <x:c r="E18" s="18" t="str">
        <x:v>Curva de ramp-up (mês após abertura)</x:v>
      </x:c>
      <x:c r="F18" s="18" t="str">
        <x:v>Curva de ramp-up (mês após abertura)</x:v>
      </x:c>
    </x:row>
    <x:row r="20">
      <x:c r="A20" s="33" t="str">
        <x:v>Mês</x:v>
      </x:c>
      <x:c r="B20" s="33" t="str">
        <x:v>Fator de receita</x:v>
      </x:c>
      <x:c r="C20" s="33" t="str">
        <x:v>Fator da margem EBITDA</x:v>
      </x:c>
      <x:c r="D20" s="33" t="str">
        <x:v>Comentário</x:v>
      </x:c>
    </x:row>
    <x:row r="21">
      <x:c r="A21" t="n">
        <x:v>1</x:v>
      </x:c>
      <x:c r="B21" s="40" t="n">
        <x:v>0.25</x:v>
      </x:c>
      <x:c r="C21" s="40" t="n">
        <x:v>-0.55</x:v>
      </x:c>
      <x:c r="D21" t="str">
        <x:v>Fase de abertura</x:v>
      </x:c>
    </x:row>
    <x:row r="22">
      <x:c r="A22" t="n">
        <x:v>2</x:v>
      </x:c>
      <x:c r="B22" s="40" t="n">
        <x:v>0.35</x:v>
      </x:c>
      <x:c r="C22" s="40" t="n">
        <x:v>-0.28</x:v>
      </x:c>
      <x:c r="D22" t="str">
        <x:v>Fase de abertura</x:v>
      </x:c>
    </x:row>
    <x:row r="23">
      <x:c r="A23" t="n">
        <x:v>3</x:v>
      </x:c>
      <x:c r="B23" s="40" t="n">
        <x:v>0.45</x:v>
      </x:c>
      <x:c r="C23" s="40" t="n">
        <x:v>0</x:v>
      </x:c>
      <x:c r="D23" t="str">
        <x:v>Fase de abertura</x:v>
      </x:c>
    </x:row>
    <x:row r="24">
      <x:c r="A24" t="n">
        <x:v>4</x:v>
      </x:c>
      <x:c r="B24" s="40" t="n">
        <x:v>0.55</x:v>
      </x:c>
      <x:c r="C24" s="40" t="n">
        <x:v>0.28</x:v>
      </x:c>
      <x:c r="D24" t="str">
        <x:v>Ramp-up comercial</x:v>
      </x:c>
    </x:row>
    <x:row r="25">
      <x:c r="A25" t="n">
        <x:v>5</x:v>
      </x:c>
      <x:c r="B25" s="40" t="n">
        <x:v>0.65</x:v>
      </x:c>
      <x:c r="C25" s="40" t="n">
        <x:v>0.5</x:v>
      </x:c>
      <x:c r="D25" t="str">
        <x:v>Ramp-up comercial</x:v>
      </x:c>
    </x:row>
    <x:row r="26">
      <x:c r="A26" t="n">
        <x:v>6</x:v>
      </x:c>
      <x:c r="B26" s="40" t="n">
        <x:v>0.72</x:v>
      </x:c>
      <x:c r="C26" s="40" t="n">
        <x:v>0.65</x:v>
      </x:c>
      <x:c r="D26" t="str">
        <x:v>Ramp-up comercial</x:v>
      </x:c>
    </x:row>
    <x:row r="27">
      <x:c r="A27" t="n">
        <x:v>7</x:v>
      </x:c>
      <x:c r="B27" s="40" t="n">
        <x:v>0.78</x:v>
      </x:c>
      <x:c r="C27" s="40" t="n">
        <x:v>0.78</x:v>
      </x:c>
      <x:c r="D27" t="str">
        <x:v>Ramp-up comercial</x:v>
      </x:c>
    </x:row>
    <x:row r="28">
      <x:c r="A28" t="n">
        <x:v>8</x:v>
      </x:c>
      <x:c r="B28" s="40" t="n">
        <x:v>0.83</x:v>
      </x:c>
      <x:c r="C28" s="40" t="n">
        <x:v>0.86</x:v>
      </x:c>
      <x:c r="D28" t="str">
        <x:v>Ramp-up comercial</x:v>
      </x:c>
    </x:row>
    <x:row r="29">
      <x:c r="A29" t="n">
        <x:v>9</x:v>
      </x:c>
      <x:c r="B29" s="40" t="n">
        <x:v>0.87</x:v>
      </x:c>
      <x:c r="C29" s="40" t="n">
        <x:v>0.9</x:v>
      </x:c>
      <x:c r="D29" t="str">
        <x:v>Ramp-up comercial</x:v>
      </x:c>
    </x:row>
    <x:row r="30">
      <x:c r="A30" t="n">
        <x:v>10</x:v>
      </x:c>
      <x:c r="B30" s="40" t="n">
        <x:v>0.9</x:v>
      </x:c>
      <x:c r="C30" s="40" t="n">
        <x:v>0.94</x:v>
      </x:c>
      <x:c r="D30" t="str">
        <x:v>Ramp-up comercial</x:v>
      </x:c>
    </x:row>
    <x:row r="31">
      <x:c r="A31" t="n">
        <x:v>11</x:v>
      </x:c>
      <x:c r="B31" s="40" t="n">
        <x:v>0.92</x:v>
      </x:c>
      <x:c r="C31" s="40" t="n">
        <x:v>0.96</x:v>
      </x:c>
      <x:c r="D31" t="str">
        <x:v>Ramp-up comercial</x:v>
      </x:c>
    </x:row>
    <x:row r="32">
      <x:c r="A32" t="n">
        <x:v>12</x:v>
      </x:c>
      <x:c r="B32" s="40" t="n">
        <x:v>0.94</x:v>
      </x:c>
      <x:c r="C32" s="40" t="n">
        <x:v>0.98</x:v>
      </x:c>
      <x:c r="D32" t="str">
        <x:v>Ramp-up comercial</x:v>
      </x:c>
    </x:row>
    <x:row r="33">
      <x:c r="A33" t="n">
        <x:v>13</x:v>
      </x:c>
      <x:c r="B33" s="40" t="n">
        <x:v>0.96</x:v>
      </x:c>
      <x:c r="C33" s="40" t="n">
        <x:v>1</x:v>
      </x:c>
      <x:c r="D33" t="str">
        <x:v>Estabilização</x:v>
      </x:c>
    </x:row>
    <x:row r="34">
      <x:c r="A34" t="n">
        <x:v>14</x:v>
      </x:c>
      <x:c r="B34" s="40" t="n">
        <x:v>0.97</x:v>
      </x:c>
      <x:c r="C34" s="40" t="n">
        <x:v>1</x:v>
      </x:c>
      <x:c r="D34" t="str">
        <x:v>Estabilização</x:v>
      </x:c>
    </x:row>
    <x:row r="35">
      <x:c r="A35" t="n">
        <x:v>15</x:v>
      </x:c>
      <x:c r="B35" s="40" t="n">
        <x:v>0.98</x:v>
      </x:c>
      <x:c r="C35" s="40" t="n">
        <x:v>1</x:v>
      </x:c>
      <x:c r="D35" t="str">
        <x:v>Estabilização</x:v>
      </x:c>
    </x:row>
    <x:row r="36">
      <x:c r="A36" t="n">
        <x:v>16</x:v>
      </x:c>
      <x:c r="B36" s="40" t="n">
        <x:v>0.99</x:v>
      </x:c>
      <x:c r="C36" s="40" t="n">
        <x:v>1</x:v>
      </x:c>
      <x:c r="D36" t="str">
        <x:v>Estabilização</x:v>
      </x:c>
    </x:row>
    <x:row r="37">
      <x:c r="A37" t="n">
        <x:v>17</x:v>
      </x:c>
      <x:c r="B37" s="40" t="n">
        <x:v>1</x:v>
      </x:c>
      <x:c r="C37" s="40" t="n">
        <x:v>1</x:v>
      </x:c>
      <x:c r="D37" t="str">
        <x:v>Estabilização</x:v>
      </x:c>
    </x:row>
    <x:row r="38">
      <x:c r="A38" t="n">
        <x:v>18</x:v>
      </x:c>
      <x:c r="B38" s="40" t="n">
        <x:v>1</x:v>
      </x:c>
      <x:c r="C38" s="40" t="n">
        <x:v>1</x:v>
      </x:c>
      <x:c r="D38" t="str">
        <x:v>Estabilização</x:v>
      </x:c>
    </x:row>
  </x:sheetData>
  <x:mergeCells>
    <x:mergeCell ref="A1:F1"/>
    <x:mergeCell ref="A2:F2"/>
    <x:mergeCell ref="A5:F5"/>
    <x:mergeCell ref="A18:F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</x:cols>
  <x:sheetData>
    <x:row r="1" ht="30" customHeight="1">
      <x:c r="A1" s="3" t="str">
        <x:v>RAMP-UP MENSAL DAS NOVAS LOJAS</x:v>
      </x:c>
      <x:c r="B1" s="3" t="str">
        <x:v>RAMP-UP MENSAL DAS NOVAS LOJAS</x:v>
      </x:c>
      <x:c r="C1" s="3" t="str">
        <x:v>RAMP-UP MENSAL DAS NOVAS LOJAS</x:v>
      </x:c>
      <x:c r="D1" s="3" t="str">
        <x:v>RAMP-UP MENSAL DAS NOVAS LOJAS</x:v>
      </x:c>
      <x:c r="E1" s="3" t="str">
        <x:v>RAMP-UP MENSAL DAS NOVAS LOJAS</x:v>
      </x:c>
      <x:c r="F1" s="3" t="str">
        <x:v>RAMP-UP MENSAL DAS NOVAS LOJAS</x:v>
      </x:c>
      <x:c r="G1" s="3" t="str">
        <x:v>RAMP-UP MENSAL DAS NOVAS LOJAS</x:v>
      </x:c>
      <x:c r="H1" s="3" t="str">
        <x:v>RAMP-UP MENSAL DAS NOVAS LOJAS</x:v>
      </x:c>
      <x:c r="I1" s="3" t="str">
        <x:v>RAMP-UP MENSAL DAS NOVAS LOJAS</x:v>
      </x:c>
      <x:c r="J1" s="3" t="str">
        <x:v>RAMP-UP MENSAL DAS NOVAS LOJAS</x:v>
      </x:c>
      <x:c r="K1" s="3" t="str">
        <x:v>RAMP-UP MENSAL DAS NOVAS LOJAS</x:v>
      </x:c>
      <x:c r="L1" s="3" t="str">
        <x:v>RAMP-UP MENSAL DAS NOVAS LOJAS</x:v>
      </x:c>
      <x:c r="M1" s="3" t="str">
        <x:v>RAMP-UP MENSAL DAS NOVAS LOJAS</x:v>
      </x:c>
      <x:c r="N1" s="3" t="str">
        <x:v>RAMP-UP MENSAL DAS NOVAS LOJAS</x:v>
      </x:c>
      <x:c r="O1" s="3" t="str">
        <x:v>RAMP-UP MENSAL DAS NOVAS LOJAS</x:v>
      </x:c>
      <x:c r="P1" s="3" t="str">
        <x:v>RAMP-UP MENSAL DAS NOVAS LOJAS</x:v>
      </x:c>
      <x:c r="Q1" s="3" t="str">
        <x:v>RAMP-UP MENSAL DAS NOVAS LOJAS</x:v>
      </x:c>
      <x:c r="R1" s="3" t="str">
        <x:v>RAMP-UP MENSAL DAS NOVAS LOJAS</x:v>
      </x:c>
      <x:c r="S1" s="3" t="str">
        <x:v>RAMP-UP MENSAL DAS NOVAS LOJAS</x:v>
      </x:c>
      <x:c r="T1" s="3" t="str">
        <x:v>RAMP-UP MENSAL DAS NOVAS LOJAS</x:v>
      </x:c>
      <x:c r="U1" s="3" t="str">
        <x:v>RAMP-UP MENSAL DAS NOVAS LOJAS</x:v>
      </x:c>
      <x:c r="V1" s="3" t="str">
        <x:v>RAMP-UP MENSAL DAS NOVAS LOJAS</x:v>
      </x:c>
      <x:c r="W1" s="3" t="str">
        <x:v>RAMP-UP MENSAL DAS NOVAS LOJAS</x:v>
      </x:c>
      <x:c r="X1" s="3" t="str">
        <x:v>RAMP-UP MENSAL DAS NOVAS LOJAS</x:v>
      </x:c>
      <x:c r="Y1" s="3" t="str">
        <x:v>RAMP-UP MENSAL DAS NOVAS LOJAS</x:v>
      </x:c>
      <x:c r="Z1" s="3" t="str">
        <x:v>RAMP-UP MENSAL DAS NOVAS LOJAS</x:v>
      </x:c>
      <x:c r="AA1" s="3" t="str">
        <x:v>RAMP-UP MENSAL DAS NOVAS LOJAS</x:v>
      </x:c>
      <x:c r="AB1" s="3" t="str">
        <x:v>RAMP-UP MENSAL DAS NOVAS LOJAS</x:v>
      </x:c>
      <x:c r="AC1" s="3" t="str">
        <x:v>RAMP-UP MENSAL DAS NOVAS LOJAS</x:v>
      </x:c>
      <x:c r="AD1" s="3" t="str">
        <x:v>RAMP-UP MENSAL DAS NOVAS LOJAS</x:v>
      </x:c>
      <x:c r="AE1" s="3" t="str">
        <x:v>RAMP-UP MENSAL DAS NOVAS LOJAS</x:v>
      </x:c>
      <x:c r="AF1" s="3" t="str">
        <x:v>RAMP-UP MENSAL DAS NOVAS LOJAS</x:v>
      </x:c>
      <x:c r="AG1" s="3" t="str">
        <x:v>RAMP-UP MENSAL DAS NOVAS LOJAS</x:v>
      </x:c>
      <x:c r="AH1" s="3" t="str">
        <x:v>RAMP-UP MENSAL DAS NOVAS LOJAS</x:v>
      </x:c>
      <x:c r="AI1" s="3" t="str">
        <x:v>RAMP-UP MENSAL DAS NOVAS LOJAS</x:v>
      </x:c>
      <x:c r="AJ1" s="3" t="str">
        <x:v>RAMP-UP MENSAL DAS NOVAS LOJAS</x:v>
      </x:c>
      <x:c r="AK1" s="3" t="str">
        <x:v>RAMP-UP MENSAL DAS NOVAS LOJAS</x:v>
      </x:c>
    </x:row>
    <x:row r="2" ht="28" customHeight="1">
      <x:c r="A2" s="7" t="str">
        <x:v>Projeção de jan/2027 a dez/2029 - R$ milhões</x:v>
      </x:c>
      <x:c r="B2" s="7" t="str">
        <x:v>Projeção de jan/2027 a dez/2029 - R$ milhões</x:v>
      </x:c>
      <x:c r="C2" s="7" t="str">
        <x:v>Projeção de jan/2027 a dez/2029 - R$ milhões</x:v>
      </x:c>
      <x:c r="D2" s="7" t="str">
        <x:v>Projeção de jan/2027 a dez/2029 - R$ milhões</x:v>
      </x:c>
      <x:c r="E2" s="7" t="str">
        <x:v>Projeção de jan/2027 a dez/2029 - R$ milhões</x:v>
      </x:c>
      <x:c r="F2" s="7" t="str">
        <x:v>Projeção de jan/2027 a dez/2029 - R$ milhões</x:v>
      </x:c>
      <x:c r="G2" s="7" t="str">
        <x:v>Projeção de jan/2027 a dez/2029 - R$ milhões</x:v>
      </x:c>
      <x:c r="H2" s="7" t="str">
        <x:v>Projeção de jan/2027 a dez/2029 - R$ milhões</x:v>
      </x:c>
      <x:c r="I2" s="7" t="str">
        <x:v>Projeção de jan/2027 a dez/2029 - R$ milhões</x:v>
      </x:c>
      <x:c r="J2" s="7" t="str">
        <x:v>Projeção de jan/2027 a dez/2029 - R$ milhões</x:v>
      </x:c>
      <x:c r="K2" s="7" t="str">
        <x:v>Projeção de jan/2027 a dez/2029 - R$ milhões</x:v>
      </x:c>
      <x:c r="L2" s="7" t="str">
        <x:v>Projeção de jan/2027 a dez/2029 - R$ milhões</x:v>
      </x:c>
      <x:c r="M2" s="7" t="str">
        <x:v>Projeção de jan/2027 a dez/2029 - R$ milhões</x:v>
      </x:c>
      <x:c r="N2" s="7" t="str">
        <x:v>Projeção de jan/2027 a dez/2029 - R$ milhões</x:v>
      </x:c>
      <x:c r="O2" s="7" t="str">
        <x:v>Projeção de jan/2027 a dez/2029 - R$ milhões</x:v>
      </x:c>
      <x:c r="P2" s="7" t="str">
        <x:v>Projeção de jan/2027 a dez/2029 - R$ milhões</x:v>
      </x:c>
      <x:c r="Q2" s="7" t="str">
        <x:v>Projeção de jan/2027 a dez/2029 - R$ milhões</x:v>
      </x:c>
      <x:c r="R2" s="7" t="str">
        <x:v>Projeção de jan/2027 a dez/2029 - R$ milhões</x:v>
      </x:c>
      <x:c r="S2" s="7" t="str">
        <x:v>Projeção de jan/2027 a dez/2029 - R$ milhões</x:v>
      </x:c>
      <x:c r="T2" s="7" t="str">
        <x:v>Projeção de jan/2027 a dez/2029 - R$ milhões</x:v>
      </x:c>
      <x:c r="U2" s="7" t="str">
        <x:v>Projeção de jan/2027 a dez/2029 - R$ milhões</x:v>
      </x:c>
      <x:c r="V2" s="7" t="str">
        <x:v>Projeção de jan/2027 a dez/2029 - R$ milhões</x:v>
      </x:c>
      <x:c r="W2" s="7" t="str">
        <x:v>Projeção de jan/2027 a dez/2029 - R$ milhões</x:v>
      </x:c>
      <x:c r="X2" s="7" t="str">
        <x:v>Projeção de jan/2027 a dez/2029 - R$ milhões</x:v>
      </x:c>
      <x:c r="Y2" s="7" t="str">
        <x:v>Projeção de jan/2027 a dez/2029 - R$ milhões</x:v>
      </x:c>
      <x:c r="Z2" s="7" t="str">
        <x:v>Projeção de jan/2027 a dez/2029 - R$ milhões</x:v>
      </x:c>
      <x:c r="AA2" s="7" t="str">
        <x:v>Projeção de jan/2027 a dez/2029 - R$ milhões</x:v>
      </x:c>
      <x:c r="AB2" s="7" t="str">
        <x:v>Projeção de jan/2027 a dez/2029 - R$ milhões</x:v>
      </x:c>
      <x:c r="AC2" s="7" t="str">
        <x:v>Projeção de jan/2027 a dez/2029 - R$ milhões</x:v>
      </x:c>
      <x:c r="AD2" s="7" t="str">
        <x:v>Projeção de jan/2027 a dez/2029 - R$ milhões</x:v>
      </x:c>
      <x:c r="AE2" s="7" t="str">
        <x:v>Projeção de jan/2027 a dez/2029 - R$ milhões</x:v>
      </x:c>
      <x:c r="AF2" s="7" t="str">
        <x:v>Projeção de jan/2027 a dez/2029 - R$ milhões</x:v>
      </x:c>
      <x:c r="AG2" s="7" t="str">
        <x:v>Projeção de jan/2027 a dez/2029 - R$ milhões</x:v>
      </x:c>
      <x:c r="AH2" s="7" t="str">
        <x:v>Projeção de jan/2027 a dez/2029 - R$ milhões</x:v>
      </x:c>
      <x:c r="AI2" s="7" t="str">
        <x:v>Projeção de jan/2027 a dez/2029 - R$ milhões</x:v>
      </x:c>
      <x:c r="AJ2" s="7" t="str">
        <x:v>Projeção de jan/2027 a dez/2029 - R$ milhões</x:v>
      </x:c>
      <x:c r="AK2" s="7" t="str">
        <x:v>Projeção de jan/2027 a dez/2029 - R$ milhões</x:v>
      </x:c>
    </x:row>
    <x:row r="4">
      <x:c r="A4" s="33" t="str">
        <x:v>Métrica</x:v>
      </x:c>
      <x:c r="B4" s="52" t="n">
        <x:v>46388</x:v>
      </x:c>
      <x:c r="C4" s="52" t="n">
        <x:v>46419</x:v>
      </x:c>
      <x:c r="D4" s="52" t="n">
        <x:v>46447</x:v>
      </x:c>
      <x:c r="E4" s="52" t="n">
        <x:v>46478</x:v>
      </x:c>
      <x:c r="F4" s="52" t="n">
        <x:v>46508</x:v>
      </x:c>
      <x:c r="G4" s="52" t="n">
        <x:v>46539</x:v>
      </x:c>
      <x:c r="H4" s="52" t="n">
        <x:v>46569</x:v>
      </x:c>
      <x:c r="I4" s="52" t="n">
        <x:v>46600</x:v>
      </x:c>
      <x:c r="J4" s="52" t="n">
        <x:v>46631</x:v>
      </x:c>
      <x:c r="K4" s="52" t="n">
        <x:v>46661</x:v>
      </x:c>
      <x:c r="L4" s="52" t="n">
        <x:v>46692</x:v>
      </x:c>
      <x:c r="M4" s="52" t="n">
        <x:v>46722</x:v>
      </x:c>
      <x:c r="N4" s="52" t="n">
        <x:v>46753</x:v>
      </x:c>
      <x:c r="O4" s="52" t="n">
        <x:v>46784</x:v>
      </x:c>
      <x:c r="P4" s="52" t="n">
        <x:v>46813</x:v>
      </x:c>
      <x:c r="Q4" s="52" t="n">
        <x:v>46844</x:v>
      </x:c>
      <x:c r="R4" s="52" t="n">
        <x:v>46874</x:v>
      </x:c>
      <x:c r="S4" s="52" t="n">
        <x:v>46905</x:v>
      </x:c>
      <x:c r="T4" s="52" t="n">
        <x:v>46935</x:v>
      </x:c>
      <x:c r="U4" s="52" t="n">
        <x:v>46966</x:v>
      </x:c>
      <x:c r="V4" s="52" t="n">
        <x:v>46997</x:v>
      </x:c>
      <x:c r="W4" s="52" t="n">
        <x:v>47027</x:v>
      </x:c>
      <x:c r="X4" s="52" t="n">
        <x:v>47058</x:v>
      </x:c>
      <x:c r="Y4" s="52" t="n">
        <x:v>47088</x:v>
      </x:c>
      <x:c r="Z4" s="52" t="n">
        <x:v>47119</x:v>
      </x:c>
      <x:c r="AA4" s="52" t="n">
        <x:v>47150</x:v>
      </x:c>
      <x:c r="AB4" s="52" t="n">
        <x:v>47178</x:v>
      </x:c>
      <x:c r="AC4" s="52" t="n">
        <x:v>47209</x:v>
      </x:c>
      <x:c r="AD4" s="52" t="n">
        <x:v>47239</x:v>
      </x:c>
      <x:c r="AE4" s="52" t="n">
        <x:v>47270</x:v>
      </x:c>
      <x:c r="AF4" s="52" t="n">
        <x:v>47300</x:v>
      </x:c>
      <x:c r="AG4" s="52" t="n">
        <x:v>47331</x:v>
      </x:c>
      <x:c r="AH4" s="52" t="n">
        <x:v>47362</x:v>
      </x:c>
      <x:c r="AI4" s="52" t="n">
        <x:v>47392</x:v>
      </x:c>
      <x:c r="AJ4" s="52" t="n">
        <x:v>47423</x:v>
      </x:c>
      <x:c r="AK4" s="52" t="n">
        <x:v>47453</x:v>
      </x:c>
    </x:row>
    <x:row r="6">
      <x:c r="A6" t="str">
        <x:v>Franca - mês desde abertura</x:v>
      </x:c>
      <x:c r="B6" s="53" t="n">
        <x:f>IF(B$4&lt;'LOJAS'!$C$6,0,MIN(18,MAX(1,(YEAR(B$4)-YEAR('LOJAS'!$C$6))*12+MONTH(B$4)-MONTH('LOJAS'!$C$6)+1)))</x:f>
        <x:v>0</x:v>
      </x:c>
      <x:c r="C6" s="53" t="n">
        <x:f>IF(C$4&lt;'LOJAS'!$C$6,0,MIN(18,MAX(1,(YEAR(C$4)-YEAR('LOJAS'!$C$6))*12+MONTH(C$4)-MONTH('LOJAS'!$C$6)+1)))</x:f>
        <x:v>0</x:v>
      </x:c>
      <x:c r="D6" s="53" t="n">
        <x:f>IF(D$4&lt;'LOJAS'!$C$6,0,MIN(18,MAX(1,(YEAR(D$4)-YEAR('LOJAS'!$C$6))*12+MONTH(D$4)-MONTH('LOJAS'!$C$6)+1)))</x:f>
        <x:v>0</x:v>
      </x:c>
      <x:c r="E6" s="53" t="n">
        <x:f>IF(E$4&lt;'LOJAS'!$C$6,0,MIN(18,MAX(1,(YEAR(E$4)-YEAR('LOJAS'!$C$6))*12+MONTH(E$4)-MONTH('LOJAS'!$C$6)+1)))</x:f>
        <x:v>1</x:v>
      </x:c>
      <x:c r="F6" s="53" t="n">
        <x:f>IF(F$4&lt;'LOJAS'!$C$6,0,MIN(18,MAX(1,(YEAR(F$4)-YEAR('LOJAS'!$C$6))*12+MONTH(F$4)-MONTH('LOJAS'!$C$6)+1)))</x:f>
        <x:v>2</x:v>
      </x:c>
      <x:c r="G6" s="53" t="n">
        <x:f>IF(G$4&lt;'LOJAS'!$C$6,0,MIN(18,MAX(1,(YEAR(G$4)-YEAR('LOJAS'!$C$6))*12+MONTH(G$4)-MONTH('LOJAS'!$C$6)+1)))</x:f>
        <x:v>3</x:v>
      </x:c>
      <x:c r="H6" s="53" t="n">
        <x:f>IF(H$4&lt;'LOJAS'!$C$6,0,MIN(18,MAX(1,(YEAR(H$4)-YEAR('LOJAS'!$C$6))*12+MONTH(H$4)-MONTH('LOJAS'!$C$6)+1)))</x:f>
        <x:v>4</x:v>
      </x:c>
      <x:c r="I6" s="53" t="n">
        <x:f>IF(I$4&lt;'LOJAS'!$C$6,0,MIN(18,MAX(1,(YEAR(I$4)-YEAR('LOJAS'!$C$6))*12+MONTH(I$4)-MONTH('LOJAS'!$C$6)+1)))</x:f>
        <x:v>5</x:v>
      </x:c>
      <x:c r="J6" s="53" t="n">
        <x:f>IF(J$4&lt;'LOJAS'!$C$6,0,MIN(18,MAX(1,(YEAR(J$4)-YEAR('LOJAS'!$C$6))*12+MONTH(J$4)-MONTH('LOJAS'!$C$6)+1)))</x:f>
        <x:v>6</x:v>
      </x:c>
      <x:c r="K6" s="53" t="n">
        <x:f>IF(K$4&lt;'LOJAS'!$C$6,0,MIN(18,MAX(1,(YEAR(K$4)-YEAR('LOJAS'!$C$6))*12+MONTH(K$4)-MONTH('LOJAS'!$C$6)+1)))</x:f>
        <x:v>7</x:v>
      </x:c>
      <x:c r="L6" s="53" t="n">
        <x:f>IF(L$4&lt;'LOJAS'!$C$6,0,MIN(18,MAX(1,(YEAR(L$4)-YEAR('LOJAS'!$C$6))*12+MONTH(L$4)-MONTH('LOJAS'!$C$6)+1)))</x:f>
        <x:v>8</x:v>
      </x:c>
      <x:c r="M6" s="53" t="n">
        <x:f>IF(M$4&lt;'LOJAS'!$C$6,0,MIN(18,MAX(1,(YEAR(M$4)-YEAR('LOJAS'!$C$6))*12+MONTH(M$4)-MONTH('LOJAS'!$C$6)+1)))</x:f>
        <x:v>9</x:v>
      </x:c>
      <x:c r="N6" s="53" t="n">
        <x:f>IF(N$4&lt;'LOJAS'!$C$6,0,MIN(18,MAX(1,(YEAR(N$4)-YEAR('LOJAS'!$C$6))*12+MONTH(N$4)-MONTH('LOJAS'!$C$6)+1)))</x:f>
        <x:v>10</x:v>
      </x:c>
      <x:c r="O6" s="53" t="n">
        <x:f>IF(O$4&lt;'LOJAS'!$C$6,0,MIN(18,MAX(1,(YEAR(O$4)-YEAR('LOJAS'!$C$6))*12+MONTH(O$4)-MONTH('LOJAS'!$C$6)+1)))</x:f>
        <x:v>11</x:v>
      </x:c>
      <x:c r="P6" s="53" t="n">
        <x:f>IF(P$4&lt;'LOJAS'!$C$6,0,MIN(18,MAX(1,(YEAR(P$4)-YEAR('LOJAS'!$C$6))*12+MONTH(P$4)-MONTH('LOJAS'!$C$6)+1)))</x:f>
        <x:v>12</x:v>
      </x:c>
      <x:c r="Q6" s="53" t="n">
        <x:f>IF(Q$4&lt;'LOJAS'!$C$6,0,MIN(18,MAX(1,(YEAR(Q$4)-YEAR('LOJAS'!$C$6))*12+MONTH(Q$4)-MONTH('LOJAS'!$C$6)+1)))</x:f>
        <x:v>13</x:v>
      </x:c>
      <x:c r="R6" s="53" t="n">
        <x:f>IF(R$4&lt;'LOJAS'!$C$6,0,MIN(18,MAX(1,(YEAR(R$4)-YEAR('LOJAS'!$C$6))*12+MONTH(R$4)-MONTH('LOJAS'!$C$6)+1)))</x:f>
        <x:v>14</x:v>
      </x:c>
      <x:c r="S6" s="53" t="n">
        <x:f>IF(S$4&lt;'LOJAS'!$C$6,0,MIN(18,MAX(1,(YEAR(S$4)-YEAR('LOJAS'!$C$6))*12+MONTH(S$4)-MONTH('LOJAS'!$C$6)+1)))</x:f>
        <x:v>15</x:v>
      </x:c>
      <x:c r="T6" s="53" t="n">
        <x:f>IF(T$4&lt;'LOJAS'!$C$6,0,MIN(18,MAX(1,(YEAR(T$4)-YEAR('LOJAS'!$C$6))*12+MONTH(T$4)-MONTH('LOJAS'!$C$6)+1)))</x:f>
        <x:v>16</x:v>
      </x:c>
      <x:c r="U6" s="53" t="n">
        <x:f>IF(U$4&lt;'LOJAS'!$C$6,0,MIN(18,MAX(1,(YEAR(U$4)-YEAR('LOJAS'!$C$6))*12+MONTH(U$4)-MONTH('LOJAS'!$C$6)+1)))</x:f>
        <x:v>17</x:v>
      </x:c>
      <x:c r="V6" s="53" t="n">
        <x:f>IF(V$4&lt;'LOJAS'!$C$6,0,MIN(18,MAX(1,(YEAR(V$4)-YEAR('LOJAS'!$C$6))*12+MONTH(V$4)-MONTH('LOJAS'!$C$6)+1)))</x:f>
        <x:v>18</x:v>
      </x:c>
      <x:c r="W6" s="53" t="n">
        <x:f>IF(W$4&lt;'LOJAS'!$C$6,0,MIN(18,MAX(1,(YEAR(W$4)-YEAR('LOJAS'!$C$6))*12+MONTH(W$4)-MONTH('LOJAS'!$C$6)+1)))</x:f>
        <x:v>18</x:v>
      </x:c>
      <x:c r="X6" s="53" t="n">
        <x:f>IF(X$4&lt;'LOJAS'!$C$6,0,MIN(18,MAX(1,(YEAR(X$4)-YEAR('LOJAS'!$C$6))*12+MONTH(X$4)-MONTH('LOJAS'!$C$6)+1)))</x:f>
        <x:v>18</x:v>
      </x:c>
      <x:c r="Y6" s="53" t="n">
        <x:f>IF(Y$4&lt;'LOJAS'!$C$6,0,MIN(18,MAX(1,(YEAR(Y$4)-YEAR('LOJAS'!$C$6))*12+MONTH(Y$4)-MONTH('LOJAS'!$C$6)+1)))</x:f>
        <x:v>18</x:v>
      </x:c>
      <x:c r="Z6" s="53" t="n">
        <x:f>IF(Z$4&lt;'LOJAS'!$C$6,0,MIN(18,MAX(1,(YEAR(Z$4)-YEAR('LOJAS'!$C$6))*12+MONTH(Z$4)-MONTH('LOJAS'!$C$6)+1)))</x:f>
        <x:v>18</x:v>
      </x:c>
      <x:c r="AA6" s="53" t="n">
        <x:f>IF(AA$4&lt;'LOJAS'!$C$6,0,MIN(18,MAX(1,(YEAR(AA$4)-YEAR('LOJAS'!$C$6))*12+MONTH(AA$4)-MONTH('LOJAS'!$C$6)+1)))</x:f>
        <x:v>18</x:v>
      </x:c>
      <x:c r="AB6" s="53" t="n">
        <x:f>IF(AB$4&lt;'LOJAS'!$C$6,0,MIN(18,MAX(1,(YEAR(AB$4)-YEAR('LOJAS'!$C$6))*12+MONTH(AB$4)-MONTH('LOJAS'!$C$6)+1)))</x:f>
        <x:v>18</x:v>
      </x:c>
      <x:c r="AC6" s="53" t="n">
        <x:f>IF(AC$4&lt;'LOJAS'!$C$6,0,MIN(18,MAX(1,(YEAR(AC$4)-YEAR('LOJAS'!$C$6))*12+MONTH(AC$4)-MONTH('LOJAS'!$C$6)+1)))</x:f>
        <x:v>18</x:v>
      </x:c>
      <x:c r="AD6" s="53" t="n">
        <x:f>IF(AD$4&lt;'LOJAS'!$C$6,0,MIN(18,MAX(1,(YEAR(AD$4)-YEAR('LOJAS'!$C$6))*12+MONTH(AD$4)-MONTH('LOJAS'!$C$6)+1)))</x:f>
        <x:v>18</x:v>
      </x:c>
      <x:c r="AE6" s="53" t="n">
        <x:f>IF(AE$4&lt;'LOJAS'!$C$6,0,MIN(18,MAX(1,(YEAR(AE$4)-YEAR('LOJAS'!$C$6))*12+MONTH(AE$4)-MONTH('LOJAS'!$C$6)+1)))</x:f>
        <x:v>18</x:v>
      </x:c>
      <x:c r="AF6" s="53" t="n">
        <x:f>IF(AF$4&lt;'LOJAS'!$C$6,0,MIN(18,MAX(1,(YEAR(AF$4)-YEAR('LOJAS'!$C$6))*12+MONTH(AF$4)-MONTH('LOJAS'!$C$6)+1)))</x:f>
        <x:v>18</x:v>
      </x:c>
      <x:c r="AG6" s="53" t="n">
        <x:f>IF(AG$4&lt;'LOJAS'!$C$6,0,MIN(18,MAX(1,(YEAR(AG$4)-YEAR('LOJAS'!$C$6))*12+MONTH(AG$4)-MONTH('LOJAS'!$C$6)+1)))</x:f>
        <x:v>18</x:v>
      </x:c>
      <x:c r="AH6" s="53" t="n">
        <x:f>IF(AH$4&lt;'LOJAS'!$C$6,0,MIN(18,MAX(1,(YEAR(AH$4)-YEAR('LOJAS'!$C$6))*12+MONTH(AH$4)-MONTH('LOJAS'!$C$6)+1)))</x:f>
        <x:v>18</x:v>
      </x:c>
      <x:c r="AI6" s="53" t="n">
        <x:f>IF(AI$4&lt;'LOJAS'!$C$6,0,MIN(18,MAX(1,(YEAR(AI$4)-YEAR('LOJAS'!$C$6))*12+MONTH(AI$4)-MONTH('LOJAS'!$C$6)+1)))</x:f>
        <x:v>18</x:v>
      </x:c>
      <x:c r="AJ6" s="53" t="n">
        <x:f>IF(AJ$4&lt;'LOJAS'!$C$6,0,MIN(18,MAX(1,(YEAR(AJ$4)-YEAR('LOJAS'!$C$6))*12+MONTH(AJ$4)-MONTH('LOJAS'!$C$6)+1)))</x:f>
        <x:v>18</x:v>
      </x:c>
      <x:c r="AK6" s="53" t="n">
        <x:f>IF(AK$4&lt;'LOJAS'!$C$6,0,MIN(18,MAX(1,(YEAR(AK$4)-YEAR('LOJAS'!$C$6))*12+MONTH(AK$4)-MONTH('LOJAS'!$C$6)+1)))</x:f>
        <x:v>18</x:v>
      </x:c>
    </x:row>
    <x:row r="7">
      <x:c r="A7" t="str">
        <x:v>Franca - receita</x:v>
      </x:c>
      <x:c r="B7" s="24" t="n">
        <x:f>IF(B6=0,0,'LOJAS'!$D$6/12*INDEX('PREMISSAS'!$B$21:$B$38,B6))</x:f>
        <x:v>0</x:v>
      </x:c>
      <x:c r="C7" s="24" t="n">
        <x:f>IF(C6=0,0,'LOJAS'!$D$6/12*INDEX('PREMISSAS'!$B$21:$B$38,C6))</x:f>
        <x:v>0</x:v>
      </x:c>
      <x:c r="D7" s="24" t="n">
        <x:f>IF(D6=0,0,'LOJAS'!$D$6/12*INDEX('PREMISSAS'!$B$21:$B$38,D6))</x:f>
        <x:v>0</x:v>
      </x:c>
      <x:c r="E7" s="24" t="n">
        <x:f>IF(E6=0,0,'LOJAS'!$D$6/12*INDEX('PREMISSAS'!$B$21:$B$38,E6))</x:f>
        <x:v>0.6666666666666666</x:v>
      </x:c>
      <x:c r="F7" s="24" t="n">
        <x:f>IF(F6=0,0,'LOJAS'!$D$6/12*INDEX('PREMISSAS'!$B$21:$B$38,F6))</x:f>
        <x:v>0.9333333333333332</x:v>
      </x:c>
      <x:c r="G7" s="24" t="n">
        <x:f>IF(G6=0,0,'LOJAS'!$D$6/12*INDEX('PREMISSAS'!$B$21:$B$38,G6))</x:f>
        <x:v>1.2</x:v>
      </x:c>
      <x:c r="H7" s="24" t="n">
        <x:f>IF(H6=0,0,'LOJAS'!$D$6/12*INDEX('PREMISSAS'!$B$21:$B$38,H6))</x:f>
        <x:v>1.4666666666666668</x:v>
      </x:c>
      <x:c r="I7" s="24" t="n">
        <x:f>IF(I6=0,0,'LOJAS'!$D$6/12*INDEX('PREMISSAS'!$B$21:$B$38,I6))</x:f>
        <x:v>1.7333333333333334</x:v>
      </x:c>
      <x:c r="J7" s="24" t="n">
        <x:f>IF(J6=0,0,'LOJAS'!$D$6/12*INDEX('PREMISSAS'!$B$21:$B$38,J6))</x:f>
        <x:v>1.92</x:v>
      </x:c>
      <x:c r="K7" s="24" t="n">
        <x:f>IF(K6=0,0,'LOJAS'!$D$6/12*INDEX('PREMISSAS'!$B$21:$B$38,K6))</x:f>
        <x:v>2.08</x:v>
      </x:c>
      <x:c r="L7" s="24" t="n">
        <x:f>IF(L6=0,0,'LOJAS'!$D$6/12*INDEX('PREMISSAS'!$B$21:$B$38,L6))</x:f>
        <x:v>2.213333333333333</x:v>
      </x:c>
      <x:c r="M7" s="24" t="n">
        <x:f>IF(M6=0,0,'LOJAS'!$D$6/12*INDEX('PREMISSAS'!$B$21:$B$38,M6))</x:f>
        <x:v>2.32</x:v>
      </x:c>
      <x:c r="N7" s="24" t="n">
        <x:f>IF(N6=0,0,'LOJAS'!$D$6/12*INDEX('PREMISSAS'!$B$21:$B$38,N6))</x:f>
        <x:v>2.4</x:v>
      </x:c>
      <x:c r="O7" s="24" t="n">
        <x:f>IF(O6=0,0,'LOJAS'!$D$6/12*INDEX('PREMISSAS'!$B$21:$B$38,O6))</x:f>
        <x:v>2.453333333333333</x:v>
      </x:c>
      <x:c r="P7" s="24" t="n">
        <x:f>IF(P6=0,0,'LOJAS'!$D$6/12*INDEX('PREMISSAS'!$B$21:$B$38,P6))</x:f>
        <x:v>2.5066666666666664</x:v>
      </x:c>
      <x:c r="Q7" s="24" t="n">
        <x:f>IF(Q6=0,0,'LOJAS'!$D$6/12*INDEX('PREMISSAS'!$B$21:$B$38,Q6))</x:f>
        <x:v>2.5599999999999996</x:v>
      </x:c>
      <x:c r="R7" s="24" t="n">
        <x:f>IF(R6=0,0,'LOJAS'!$D$6/12*INDEX('PREMISSAS'!$B$21:$B$38,R6))</x:f>
        <x:v>2.5866666666666664</x:v>
      </x:c>
      <x:c r="S7" s="24" t="n">
        <x:f>IF(S6=0,0,'LOJAS'!$D$6/12*INDEX('PREMISSAS'!$B$21:$B$38,S6))</x:f>
        <x:v>2.6133333333333333</x:v>
      </x:c>
      <x:c r="T7" s="24" t="n">
        <x:f>IF(T6=0,0,'LOJAS'!$D$6/12*INDEX('PREMISSAS'!$B$21:$B$38,T6))</x:f>
        <x:v>2.6399999999999997</x:v>
      </x:c>
      <x:c r="U7" s="24" t="n">
        <x:f>IF(U6=0,0,'LOJAS'!$D$6/12*INDEX('PREMISSAS'!$B$21:$B$38,U6))</x:f>
        <x:v>2.6666666666666665</x:v>
      </x:c>
      <x:c r="V7" s="24" t="n">
        <x:f>IF(V6=0,0,'LOJAS'!$D$6/12*INDEX('PREMISSAS'!$B$21:$B$38,V6))</x:f>
        <x:v>2.6666666666666665</x:v>
      </x:c>
      <x:c r="W7" s="24" t="n">
        <x:f>IF(W6=0,0,'LOJAS'!$D$6/12*INDEX('PREMISSAS'!$B$21:$B$38,W6))</x:f>
        <x:v>2.6666666666666665</x:v>
      </x:c>
      <x:c r="X7" s="24" t="n">
        <x:f>IF(X6=0,0,'LOJAS'!$D$6/12*INDEX('PREMISSAS'!$B$21:$B$38,X6))</x:f>
        <x:v>2.6666666666666665</x:v>
      </x:c>
      <x:c r="Y7" s="24" t="n">
        <x:f>IF(Y6=0,0,'LOJAS'!$D$6/12*INDEX('PREMISSAS'!$B$21:$B$38,Y6))</x:f>
        <x:v>2.6666666666666665</x:v>
      </x:c>
      <x:c r="Z7" s="24" t="n">
        <x:f>IF(Z6=0,0,'LOJAS'!$D$6/12*INDEX('PREMISSAS'!$B$21:$B$38,Z6))</x:f>
        <x:v>2.6666666666666665</x:v>
      </x:c>
      <x:c r="AA7" s="24" t="n">
        <x:f>IF(AA6=0,0,'LOJAS'!$D$6/12*INDEX('PREMISSAS'!$B$21:$B$38,AA6))</x:f>
        <x:v>2.6666666666666665</x:v>
      </x:c>
      <x:c r="AB7" s="24" t="n">
        <x:f>IF(AB6=0,0,'LOJAS'!$D$6/12*INDEX('PREMISSAS'!$B$21:$B$38,AB6))</x:f>
        <x:v>2.6666666666666665</x:v>
      </x:c>
      <x:c r="AC7" s="24" t="n">
        <x:f>IF(AC6=0,0,'LOJAS'!$D$6/12*INDEX('PREMISSAS'!$B$21:$B$38,AC6))</x:f>
        <x:v>2.6666666666666665</x:v>
      </x:c>
      <x:c r="AD7" s="24" t="n">
        <x:f>IF(AD6=0,0,'LOJAS'!$D$6/12*INDEX('PREMISSAS'!$B$21:$B$38,AD6))</x:f>
        <x:v>2.6666666666666665</x:v>
      </x:c>
      <x:c r="AE7" s="24" t="n">
        <x:f>IF(AE6=0,0,'LOJAS'!$D$6/12*INDEX('PREMISSAS'!$B$21:$B$38,AE6))</x:f>
        <x:v>2.6666666666666665</x:v>
      </x:c>
      <x:c r="AF7" s="24" t="n">
        <x:f>IF(AF6=0,0,'LOJAS'!$D$6/12*INDEX('PREMISSAS'!$B$21:$B$38,AF6))</x:f>
        <x:v>2.6666666666666665</x:v>
      </x:c>
      <x:c r="AG7" s="24" t="n">
        <x:f>IF(AG6=0,0,'LOJAS'!$D$6/12*INDEX('PREMISSAS'!$B$21:$B$38,AG6))</x:f>
        <x:v>2.6666666666666665</x:v>
      </x:c>
      <x:c r="AH7" s="24" t="n">
        <x:f>IF(AH6=0,0,'LOJAS'!$D$6/12*INDEX('PREMISSAS'!$B$21:$B$38,AH6))</x:f>
        <x:v>2.6666666666666665</x:v>
      </x:c>
      <x:c r="AI7" s="24" t="n">
        <x:f>IF(AI6=0,0,'LOJAS'!$D$6/12*INDEX('PREMISSAS'!$B$21:$B$38,AI6))</x:f>
        <x:v>2.6666666666666665</x:v>
      </x:c>
      <x:c r="AJ7" s="24" t="n">
        <x:f>IF(AJ6=0,0,'LOJAS'!$D$6/12*INDEX('PREMISSAS'!$B$21:$B$38,AJ6))</x:f>
        <x:v>2.6666666666666665</x:v>
      </x:c>
      <x:c r="AK7" s="24" t="n">
        <x:f>IF(AK6=0,0,'LOJAS'!$D$6/12*INDEX('PREMISSAS'!$B$21:$B$38,AK6))</x:f>
        <x:v>2.6666666666666665</x:v>
      </x:c>
    </x:row>
    <x:row r="8">
      <x:c r="A8" t="str">
        <x:v>Franca - EBITDA</x:v>
      </x:c>
      <x:c r="B8" s="24" t="n">
        <x:f>IF(B7=0,0,B7*'LOJAS'!$E$6*INDEX('PREMISSAS'!$C$21:$C$38,B6))</x:f>
        <x:v>0</x:v>
      </x:c>
      <x:c r="C8" s="24" t="n">
        <x:f>IF(C7=0,0,C7*'LOJAS'!$E$6*INDEX('PREMISSAS'!$C$21:$C$38,C6))</x:f>
        <x:v>0</x:v>
      </x:c>
      <x:c r="D8" s="24" t="n">
        <x:f>IF(D7=0,0,D7*'LOJAS'!$E$6*INDEX('PREMISSAS'!$C$21:$C$38,D6))</x:f>
        <x:v>0</x:v>
      </x:c>
      <x:c r="E8" s="24" t="n">
        <x:f>IF(E7=0,0,E7*'LOJAS'!$E$6*INDEX('PREMISSAS'!$C$21:$C$38,E6))</x:f>
        <x:v>-0.052066666666666664</x:v>
      </x:c>
      <x:c r="F8" s="24" t="n">
        <x:f>IF(F7=0,0,F7*'LOJAS'!$E$6*INDEX('PREMISSAS'!$C$21:$C$38,F6))</x:f>
        <x:v>-0.03710933333333333</x:v>
      </x:c>
      <x:c r="G8" s="24" t="n">
        <x:f>IF(G7=0,0,G7*'LOJAS'!$E$6*INDEX('PREMISSAS'!$C$21:$C$38,G6))</x:f>
        <x:v>0</x:v>
      </x:c>
      <x:c r="H8" s="24" t="n">
        <x:f>IF(H7=0,0,H7*'LOJAS'!$E$6*INDEX('PREMISSAS'!$C$21:$C$38,H6))</x:f>
        <x:v>0.05831466666666667</x:v>
      </x:c>
      <x:c r="I8" s="24" t="n">
        <x:f>IF(I7=0,0,I7*'LOJAS'!$E$6*INDEX('PREMISSAS'!$C$21:$C$38,I6))</x:f>
        <x:v>0.12306666666666666</x:v>
      </x:c>
      <x:c r="J8" s="24" t="n">
        <x:f>IF(J7=0,0,J7*'LOJAS'!$E$6*INDEX('PREMISSAS'!$C$21:$C$38,J6))</x:f>
        <x:v>0.17721599999999996</x:v>
      </x:c>
      <x:c r="K8" s="24" t="n">
        <x:f>IF(K7=0,0,K7*'LOJAS'!$E$6*INDEX('PREMISSAS'!$C$21:$C$38,K6))</x:f>
        <x:v>0.23038080000000002</x:v>
      </x:c>
      <x:c r="L8" s="24" t="n">
        <x:f>IF(L7=0,0,L7*'LOJAS'!$E$6*INDEX('PREMISSAS'!$C$21:$C$38,L6))</x:f>
        <x:v>0.2702922666666666</x:v>
      </x:c>
      <x:c r="M8" s="24" t="n">
        <x:f>IF(M7=0,0,M7*'LOJAS'!$E$6*INDEX('PREMISSAS'!$C$21:$C$38,M6))</x:f>
        <x:v>0.296496</x:v>
      </x:c>
      <x:c r="N8" s="24" t="n">
        <x:f>IF(N7=0,0,N7*'LOJAS'!$E$6*INDEX('PREMISSAS'!$C$21:$C$38,N6))</x:f>
        <x:v>0.3203519999999999</x:v>
      </x:c>
      <x:c r="O8" s="24" t="n">
        <x:f>IF(O7=0,0,O7*'LOJAS'!$E$6*INDEX('PREMISSAS'!$C$21:$C$38,O6))</x:f>
        <x:v>0.3344383999999999</x:v>
      </x:c>
      <x:c r="P8" s="24" t="n">
        <x:f>IF(P7=0,0,P7*'LOJAS'!$E$6*INDEX('PREMISSAS'!$C$21:$C$38,P6))</x:f>
        <x:v>0.3488277333333332</x:v>
      </x:c>
      <x:c r="Q8" s="24" t="n">
        <x:f>IF(Q7=0,0,Q7*'LOJAS'!$E$6*INDEX('PREMISSAS'!$C$21:$C$38,Q6))</x:f>
        <x:v>0.3635199999999999</x:v>
      </x:c>
      <x:c r="R8" s="24" t="n">
        <x:f>IF(R7=0,0,R7*'LOJAS'!$E$6*INDEX('PREMISSAS'!$C$21:$C$38,R6))</x:f>
        <x:v>0.3673066666666666</x:v>
      </x:c>
      <x:c r="S8" s="24" t="n">
        <x:f>IF(S7=0,0,S7*'LOJAS'!$E$6*INDEX('PREMISSAS'!$C$21:$C$38,S6))</x:f>
        <x:v>0.3710933333333333</x:v>
      </x:c>
      <x:c r="T8" s="24" t="n">
        <x:f>IF(T7=0,0,T7*'LOJAS'!$E$6*INDEX('PREMISSAS'!$C$21:$C$38,T6))</x:f>
        <x:v>0.37487999999999994</x:v>
      </x:c>
      <x:c r="U8" s="24" t="n">
        <x:f>IF(U7=0,0,U7*'LOJAS'!$E$6*INDEX('PREMISSAS'!$C$21:$C$38,U6))</x:f>
        <x:v>0.3786666666666666</x:v>
      </x:c>
      <x:c r="V8" s="24" t="n">
        <x:f>IF(V7=0,0,V7*'LOJAS'!$E$6*INDEX('PREMISSAS'!$C$21:$C$38,V6))</x:f>
        <x:v>0.3786666666666666</x:v>
      </x:c>
      <x:c r="W8" s="24" t="n">
        <x:f>IF(W7=0,0,W7*'LOJAS'!$E$6*INDEX('PREMISSAS'!$C$21:$C$38,W6))</x:f>
        <x:v>0.3786666666666666</x:v>
      </x:c>
      <x:c r="X8" s="24" t="n">
        <x:f>IF(X7=0,0,X7*'LOJAS'!$E$6*INDEX('PREMISSAS'!$C$21:$C$38,X6))</x:f>
        <x:v>0.3786666666666666</x:v>
      </x:c>
      <x:c r="Y8" s="24" t="n">
        <x:f>IF(Y7=0,0,Y7*'LOJAS'!$E$6*INDEX('PREMISSAS'!$C$21:$C$38,Y6))</x:f>
        <x:v>0.3786666666666666</x:v>
      </x:c>
      <x:c r="Z8" s="24" t="n">
        <x:f>IF(Z7=0,0,Z7*'LOJAS'!$E$6*INDEX('PREMISSAS'!$C$21:$C$38,Z6))</x:f>
        <x:v>0.3786666666666666</x:v>
      </x:c>
      <x:c r="AA8" s="24" t="n">
        <x:f>IF(AA7=0,0,AA7*'LOJAS'!$E$6*INDEX('PREMISSAS'!$C$21:$C$38,AA6))</x:f>
        <x:v>0.3786666666666666</x:v>
      </x:c>
      <x:c r="AB8" s="24" t="n">
        <x:f>IF(AB7=0,0,AB7*'LOJAS'!$E$6*INDEX('PREMISSAS'!$C$21:$C$38,AB6))</x:f>
        <x:v>0.3786666666666666</x:v>
      </x:c>
      <x:c r="AC8" s="24" t="n">
        <x:f>IF(AC7=0,0,AC7*'LOJAS'!$E$6*INDEX('PREMISSAS'!$C$21:$C$38,AC6))</x:f>
        <x:v>0.3786666666666666</x:v>
      </x:c>
      <x:c r="AD8" s="24" t="n">
        <x:f>IF(AD7=0,0,AD7*'LOJAS'!$E$6*INDEX('PREMISSAS'!$C$21:$C$38,AD6))</x:f>
        <x:v>0.3786666666666666</x:v>
      </x:c>
      <x:c r="AE8" s="24" t="n">
        <x:f>IF(AE7=0,0,AE7*'LOJAS'!$E$6*INDEX('PREMISSAS'!$C$21:$C$38,AE6))</x:f>
        <x:v>0.3786666666666666</x:v>
      </x:c>
      <x:c r="AF8" s="24" t="n">
        <x:f>IF(AF7=0,0,AF7*'LOJAS'!$E$6*INDEX('PREMISSAS'!$C$21:$C$38,AF6))</x:f>
        <x:v>0.3786666666666666</x:v>
      </x:c>
      <x:c r="AG8" s="24" t="n">
        <x:f>IF(AG7=0,0,AG7*'LOJAS'!$E$6*INDEX('PREMISSAS'!$C$21:$C$38,AG6))</x:f>
        <x:v>0.3786666666666666</x:v>
      </x:c>
      <x:c r="AH8" s="24" t="n">
        <x:f>IF(AH7=0,0,AH7*'LOJAS'!$E$6*INDEX('PREMISSAS'!$C$21:$C$38,AH6))</x:f>
        <x:v>0.3786666666666666</x:v>
      </x:c>
      <x:c r="AI8" s="24" t="n">
        <x:f>IF(AI7=0,0,AI7*'LOJAS'!$E$6*INDEX('PREMISSAS'!$C$21:$C$38,AI6))</x:f>
        <x:v>0.3786666666666666</x:v>
      </x:c>
      <x:c r="AJ8" s="24" t="n">
        <x:f>IF(AJ7=0,0,AJ7*'LOJAS'!$E$6*INDEX('PREMISSAS'!$C$21:$C$38,AJ6))</x:f>
        <x:v>0.3786666666666666</x:v>
      </x:c>
      <x:c r="AK8" s="24" t="n">
        <x:f>IF(AK7=0,0,AK7*'LOJAS'!$E$6*INDEX('PREMISSAS'!$C$21:$C$38,AK6))</x:f>
        <x:v>0.3786666666666666</x:v>
      </x:c>
    </x:row>
    <x:row r="9">
      <x:c r="A9" t="str">
        <x:v>Franca - margem EBITDA</x:v>
      </x:c>
      <x:c r="B9" s="22" t="n">
        <x:f>IF(B7=0,0,B8/B7)</x:f>
        <x:v>0</x:v>
      </x:c>
      <x:c r="C9" s="22" t="n">
        <x:f>IF(C7=0,0,C8/C7)</x:f>
        <x:v>0</x:v>
      </x:c>
      <x:c r="D9" s="22" t="n">
        <x:f>IF(D7=0,0,D8/D7)</x:f>
        <x:v>0</x:v>
      </x:c>
      <x:c r="E9" s="22" t="n">
        <x:f>IF(E7=0,0,E8/E7)</x:f>
        <x:v>-0.0781</x:v>
      </x:c>
      <x:c r="F9" s="22" t="n">
        <x:f>IF(F7=0,0,F8/F7)</x:f>
        <x:v>-0.03976</x:v>
      </x:c>
      <x:c r="G9" s="22" t="n">
        <x:f>IF(G7=0,0,G8/G7)</x:f>
        <x:v>0</x:v>
      </x:c>
      <x:c r="H9" s="22" t="n">
        <x:f>IF(H7=0,0,H8/H7)</x:f>
        <x:v>0.03976</x:v>
      </x:c>
      <x:c r="I9" s="22" t="n">
        <x:f>IF(I7=0,0,I8/I7)</x:f>
        <x:v>0.071</x:v>
      </x:c>
      <x:c r="J9" s="22" t="n">
        <x:f>IF(J7=0,0,J8/J7)</x:f>
        <x:v>0.09229999999999998</x:v>
      </x:c>
      <x:c r="K9" s="22" t="n">
        <x:f>IF(K7=0,0,K8/K7)</x:f>
        <x:v>0.11076000000000001</x:v>
      </x:c>
      <x:c r="L9" s="22" t="n">
        <x:f>IF(L7=0,0,L8/L7)</x:f>
        <x:v>0.12211999999999999</x:v>
      </x:c>
      <x:c r="M9" s="22" t="n">
        <x:f>IF(M7=0,0,M8/M7)</x:f>
        <x:v>0.1278</x:v>
      </x:c>
      <x:c r="N9" s="22" t="n">
        <x:f>IF(N7=0,0,N8/N7)</x:f>
        <x:v>0.13347999999999996</x:v>
      </x:c>
      <x:c r="O9" s="22" t="n">
        <x:f>IF(O7=0,0,O8/O7)</x:f>
        <x:v>0.13631999999999997</x:v>
      </x:c>
      <x:c r="P9" s="22" t="n">
        <x:f>IF(P7=0,0,P8/P7)</x:f>
        <x:v>0.13915999999999998</x:v>
      </x:c>
      <x:c r="Q9" s="22" t="n">
        <x:f>IF(Q7=0,0,Q8/Q7)</x:f>
        <x:v>0.142</x:v>
      </x:c>
      <x:c r="R9" s="22" t="n">
        <x:f>IF(R7=0,0,R8/R7)</x:f>
        <x:v>0.142</x:v>
      </x:c>
      <x:c r="S9" s="22" t="n">
        <x:f>IF(S7=0,0,S8/S7)</x:f>
        <x:v>0.142</x:v>
      </x:c>
      <x:c r="T9" s="22" t="n">
        <x:f>IF(T7=0,0,T8/T7)</x:f>
        <x:v>0.142</x:v>
      </x:c>
      <x:c r="U9" s="22" t="n">
        <x:f>IF(U7=0,0,U8/U7)</x:f>
        <x:v>0.142</x:v>
      </x:c>
      <x:c r="V9" s="22" t="n">
        <x:f>IF(V7=0,0,V8/V7)</x:f>
        <x:v>0.142</x:v>
      </x:c>
      <x:c r="W9" s="22" t="n">
        <x:f>IF(W7=0,0,W8/W7)</x:f>
        <x:v>0.142</x:v>
      </x:c>
      <x:c r="X9" s="22" t="n">
        <x:f>IF(X7=0,0,X8/X7)</x:f>
        <x:v>0.142</x:v>
      </x:c>
      <x:c r="Y9" s="22" t="n">
        <x:f>IF(Y7=0,0,Y8/Y7)</x:f>
        <x:v>0.142</x:v>
      </x:c>
      <x:c r="Z9" s="22" t="n">
        <x:f>IF(Z7=0,0,Z8/Z7)</x:f>
        <x:v>0.142</x:v>
      </x:c>
      <x:c r="AA9" s="22" t="n">
        <x:f>IF(AA7=0,0,AA8/AA7)</x:f>
        <x:v>0.142</x:v>
      </x:c>
      <x:c r="AB9" s="22" t="n">
        <x:f>IF(AB7=0,0,AB8/AB7)</x:f>
        <x:v>0.142</x:v>
      </x:c>
      <x:c r="AC9" s="22" t="n">
        <x:f>IF(AC7=0,0,AC8/AC7)</x:f>
        <x:v>0.142</x:v>
      </x:c>
      <x:c r="AD9" s="22" t="n">
        <x:f>IF(AD7=0,0,AD8/AD7)</x:f>
        <x:v>0.142</x:v>
      </x:c>
      <x:c r="AE9" s="22" t="n">
        <x:f>IF(AE7=0,0,AE8/AE7)</x:f>
        <x:v>0.142</x:v>
      </x:c>
      <x:c r="AF9" s="22" t="n">
        <x:f>IF(AF7=0,0,AF8/AF7)</x:f>
        <x:v>0.142</x:v>
      </x:c>
      <x:c r="AG9" s="22" t="n">
        <x:f>IF(AG7=0,0,AG8/AG7)</x:f>
        <x:v>0.142</x:v>
      </x:c>
      <x:c r="AH9" s="22" t="n">
        <x:f>IF(AH7=0,0,AH8/AH7)</x:f>
        <x:v>0.142</x:v>
      </x:c>
      <x:c r="AI9" s="22" t="n">
        <x:f>IF(AI7=0,0,AI8/AI7)</x:f>
        <x:v>0.142</x:v>
      </x:c>
      <x:c r="AJ9" s="22" t="n">
        <x:f>IF(AJ7=0,0,AJ8/AJ7)</x:f>
        <x:v>0.142</x:v>
      </x:c>
      <x:c r="AK9" s="22" t="n">
        <x:f>IF(AK7=0,0,AK8/AK7)</x:f>
        <x:v>0.142</x:v>
      </x:c>
    </x:row>
    <x:row r="11">
      <x:c r="A11" t="str">
        <x:v>Araraquara - mês desde abertura</x:v>
      </x:c>
      <x:c r="B11" s="53" t="n">
        <x:f>IF(B$4&lt;'LOJAS'!$C$7,0,MIN(18,MAX(1,(YEAR(B$4)-YEAR('LOJAS'!$C$7))*12+MONTH(B$4)-MONTH('LOJAS'!$C$7)+1)))</x:f>
        <x:v>0</x:v>
      </x:c>
      <x:c r="C11" s="53" t="n">
        <x:f>IF(C$4&lt;'LOJAS'!$C$7,0,MIN(18,MAX(1,(YEAR(C$4)-YEAR('LOJAS'!$C$7))*12+MONTH(C$4)-MONTH('LOJAS'!$C$7)+1)))</x:f>
        <x:v>0</x:v>
      </x:c>
      <x:c r="D11" s="53" t="n">
        <x:f>IF(D$4&lt;'LOJAS'!$C$7,0,MIN(18,MAX(1,(YEAR(D$4)-YEAR('LOJAS'!$C$7))*12+MONTH(D$4)-MONTH('LOJAS'!$C$7)+1)))</x:f>
        <x:v>0</x:v>
      </x:c>
      <x:c r="E11" s="53" t="n">
        <x:f>IF(E$4&lt;'LOJAS'!$C$7,0,MIN(18,MAX(1,(YEAR(E$4)-YEAR('LOJAS'!$C$7))*12+MONTH(E$4)-MONTH('LOJAS'!$C$7)+1)))</x:f>
        <x:v>0</x:v>
      </x:c>
      <x:c r="F11" s="53" t="n">
        <x:f>IF(F$4&lt;'LOJAS'!$C$7,0,MIN(18,MAX(1,(YEAR(F$4)-YEAR('LOJAS'!$C$7))*12+MONTH(F$4)-MONTH('LOJAS'!$C$7)+1)))</x:f>
        <x:v>0</x:v>
      </x:c>
      <x:c r="G11" s="53" t="n">
        <x:f>IF(G$4&lt;'LOJAS'!$C$7,0,MIN(18,MAX(1,(YEAR(G$4)-YEAR('LOJAS'!$C$7))*12+MONTH(G$4)-MONTH('LOJAS'!$C$7)+1)))</x:f>
        <x:v>0</x:v>
      </x:c>
      <x:c r="H11" s="53" t="n">
        <x:f>IF(H$4&lt;'LOJAS'!$C$7,0,MIN(18,MAX(1,(YEAR(H$4)-YEAR('LOJAS'!$C$7))*12+MONTH(H$4)-MONTH('LOJAS'!$C$7)+1)))</x:f>
        <x:v>1</x:v>
      </x:c>
      <x:c r="I11" s="53" t="n">
        <x:f>IF(I$4&lt;'LOJAS'!$C$7,0,MIN(18,MAX(1,(YEAR(I$4)-YEAR('LOJAS'!$C$7))*12+MONTH(I$4)-MONTH('LOJAS'!$C$7)+1)))</x:f>
        <x:v>2</x:v>
      </x:c>
      <x:c r="J11" s="53" t="n">
        <x:f>IF(J$4&lt;'LOJAS'!$C$7,0,MIN(18,MAX(1,(YEAR(J$4)-YEAR('LOJAS'!$C$7))*12+MONTH(J$4)-MONTH('LOJAS'!$C$7)+1)))</x:f>
        <x:v>3</x:v>
      </x:c>
      <x:c r="K11" s="53" t="n">
        <x:f>IF(K$4&lt;'LOJAS'!$C$7,0,MIN(18,MAX(1,(YEAR(K$4)-YEAR('LOJAS'!$C$7))*12+MONTH(K$4)-MONTH('LOJAS'!$C$7)+1)))</x:f>
        <x:v>4</x:v>
      </x:c>
      <x:c r="L11" s="53" t="n">
        <x:f>IF(L$4&lt;'LOJAS'!$C$7,0,MIN(18,MAX(1,(YEAR(L$4)-YEAR('LOJAS'!$C$7))*12+MONTH(L$4)-MONTH('LOJAS'!$C$7)+1)))</x:f>
        <x:v>5</x:v>
      </x:c>
      <x:c r="M11" s="53" t="n">
        <x:f>IF(M$4&lt;'LOJAS'!$C$7,0,MIN(18,MAX(1,(YEAR(M$4)-YEAR('LOJAS'!$C$7))*12+MONTH(M$4)-MONTH('LOJAS'!$C$7)+1)))</x:f>
        <x:v>6</x:v>
      </x:c>
      <x:c r="N11" s="53" t="n">
        <x:f>IF(N$4&lt;'LOJAS'!$C$7,0,MIN(18,MAX(1,(YEAR(N$4)-YEAR('LOJAS'!$C$7))*12+MONTH(N$4)-MONTH('LOJAS'!$C$7)+1)))</x:f>
        <x:v>7</x:v>
      </x:c>
      <x:c r="O11" s="53" t="n">
        <x:f>IF(O$4&lt;'LOJAS'!$C$7,0,MIN(18,MAX(1,(YEAR(O$4)-YEAR('LOJAS'!$C$7))*12+MONTH(O$4)-MONTH('LOJAS'!$C$7)+1)))</x:f>
        <x:v>8</x:v>
      </x:c>
      <x:c r="P11" s="53" t="n">
        <x:f>IF(P$4&lt;'LOJAS'!$C$7,0,MIN(18,MAX(1,(YEAR(P$4)-YEAR('LOJAS'!$C$7))*12+MONTH(P$4)-MONTH('LOJAS'!$C$7)+1)))</x:f>
        <x:v>9</x:v>
      </x:c>
      <x:c r="Q11" s="53" t="n">
        <x:f>IF(Q$4&lt;'LOJAS'!$C$7,0,MIN(18,MAX(1,(YEAR(Q$4)-YEAR('LOJAS'!$C$7))*12+MONTH(Q$4)-MONTH('LOJAS'!$C$7)+1)))</x:f>
        <x:v>10</x:v>
      </x:c>
      <x:c r="R11" s="53" t="n">
        <x:f>IF(R$4&lt;'LOJAS'!$C$7,0,MIN(18,MAX(1,(YEAR(R$4)-YEAR('LOJAS'!$C$7))*12+MONTH(R$4)-MONTH('LOJAS'!$C$7)+1)))</x:f>
        <x:v>11</x:v>
      </x:c>
      <x:c r="S11" s="53" t="n">
        <x:f>IF(S$4&lt;'LOJAS'!$C$7,0,MIN(18,MAX(1,(YEAR(S$4)-YEAR('LOJAS'!$C$7))*12+MONTH(S$4)-MONTH('LOJAS'!$C$7)+1)))</x:f>
        <x:v>12</x:v>
      </x:c>
      <x:c r="T11" s="53" t="n">
        <x:f>IF(T$4&lt;'LOJAS'!$C$7,0,MIN(18,MAX(1,(YEAR(T$4)-YEAR('LOJAS'!$C$7))*12+MONTH(T$4)-MONTH('LOJAS'!$C$7)+1)))</x:f>
        <x:v>13</x:v>
      </x:c>
      <x:c r="U11" s="53" t="n">
        <x:f>IF(U$4&lt;'LOJAS'!$C$7,0,MIN(18,MAX(1,(YEAR(U$4)-YEAR('LOJAS'!$C$7))*12+MONTH(U$4)-MONTH('LOJAS'!$C$7)+1)))</x:f>
        <x:v>14</x:v>
      </x:c>
      <x:c r="V11" s="53" t="n">
        <x:f>IF(V$4&lt;'LOJAS'!$C$7,0,MIN(18,MAX(1,(YEAR(V$4)-YEAR('LOJAS'!$C$7))*12+MONTH(V$4)-MONTH('LOJAS'!$C$7)+1)))</x:f>
        <x:v>15</x:v>
      </x:c>
      <x:c r="W11" s="53" t="n">
        <x:f>IF(W$4&lt;'LOJAS'!$C$7,0,MIN(18,MAX(1,(YEAR(W$4)-YEAR('LOJAS'!$C$7))*12+MONTH(W$4)-MONTH('LOJAS'!$C$7)+1)))</x:f>
        <x:v>16</x:v>
      </x:c>
      <x:c r="X11" s="53" t="n">
        <x:f>IF(X$4&lt;'LOJAS'!$C$7,0,MIN(18,MAX(1,(YEAR(X$4)-YEAR('LOJAS'!$C$7))*12+MONTH(X$4)-MONTH('LOJAS'!$C$7)+1)))</x:f>
        <x:v>17</x:v>
      </x:c>
      <x:c r="Y11" s="53" t="n">
        <x:f>IF(Y$4&lt;'LOJAS'!$C$7,0,MIN(18,MAX(1,(YEAR(Y$4)-YEAR('LOJAS'!$C$7))*12+MONTH(Y$4)-MONTH('LOJAS'!$C$7)+1)))</x:f>
        <x:v>18</x:v>
      </x:c>
      <x:c r="Z11" s="53" t="n">
        <x:f>IF(Z$4&lt;'LOJAS'!$C$7,0,MIN(18,MAX(1,(YEAR(Z$4)-YEAR('LOJAS'!$C$7))*12+MONTH(Z$4)-MONTH('LOJAS'!$C$7)+1)))</x:f>
        <x:v>18</x:v>
      </x:c>
      <x:c r="AA11" s="53" t="n">
        <x:f>IF(AA$4&lt;'LOJAS'!$C$7,0,MIN(18,MAX(1,(YEAR(AA$4)-YEAR('LOJAS'!$C$7))*12+MONTH(AA$4)-MONTH('LOJAS'!$C$7)+1)))</x:f>
        <x:v>18</x:v>
      </x:c>
      <x:c r="AB11" s="53" t="n">
        <x:f>IF(AB$4&lt;'LOJAS'!$C$7,0,MIN(18,MAX(1,(YEAR(AB$4)-YEAR('LOJAS'!$C$7))*12+MONTH(AB$4)-MONTH('LOJAS'!$C$7)+1)))</x:f>
        <x:v>18</x:v>
      </x:c>
      <x:c r="AC11" s="53" t="n">
        <x:f>IF(AC$4&lt;'LOJAS'!$C$7,0,MIN(18,MAX(1,(YEAR(AC$4)-YEAR('LOJAS'!$C$7))*12+MONTH(AC$4)-MONTH('LOJAS'!$C$7)+1)))</x:f>
        <x:v>18</x:v>
      </x:c>
      <x:c r="AD11" s="53" t="n">
        <x:f>IF(AD$4&lt;'LOJAS'!$C$7,0,MIN(18,MAX(1,(YEAR(AD$4)-YEAR('LOJAS'!$C$7))*12+MONTH(AD$4)-MONTH('LOJAS'!$C$7)+1)))</x:f>
        <x:v>18</x:v>
      </x:c>
      <x:c r="AE11" s="53" t="n">
        <x:f>IF(AE$4&lt;'LOJAS'!$C$7,0,MIN(18,MAX(1,(YEAR(AE$4)-YEAR('LOJAS'!$C$7))*12+MONTH(AE$4)-MONTH('LOJAS'!$C$7)+1)))</x:f>
        <x:v>18</x:v>
      </x:c>
      <x:c r="AF11" s="53" t="n">
        <x:f>IF(AF$4&lt;'LOJAS'!$C$7,0,MIN(18,MAX(1,(YEAR(AF$4)-YEAR('LOJAS'!$C$7))*12+MONTH(AF$4)-MONTH('LOJAS'!$C$7)+1)))</x:f>
        <x:v>18</x:v>
      </x:c>
      <x:c r="AG11" s="53" t="n">
        <x:f>IF(AG$4&lt;'LOJAS'!$C$7,0,MIN(18,MAX(1,(YEAR(AG$4)-YEAR('LOJAS'!$C$7))*12+MONTH(AG$4)-MONTH('LOJAS'!$C$7)+1)))</x:f>
        <x:v>18</x:v>
      </x:c>
      <x:c r="AH11" s="53" t="n">
        <x:f>IF(AH$4&lt;'LOJAS'!$C$7,0,MIN(18,MAX(1,(YEAR(AH$4)-YEAR('LOJAS'!$C$7))*12+MONTH(AH$4)-MONTH('LOJAS'!$C$7)+1)))</x:f>
        <x:v>18</x:v>
      </x:c>
      <x:c r="AI11" s="53" t="n">
        <x:f>IF(AI$4&lt;'LOJAS'!$C$7,0,MIN(18,MAX(1,(YEAR(AI$4)-YEAR('LOJAS'!$C$7))*12+MONTH(AI$4)-MONTH('LOJAS'!$C$7)+1)))</x:f>
        <x:v>18</x:v>
      </x:c>
      <x:c r="AJ11" s="53" t="n">
        <x:f>IF(AJ$4&lt;'LOJAS'!$C$7,0,MIN(18,MAX(1,(YEAR(AJ$4)-YEAR('LOJAS'!$C$7))*12+MONTH(AJ$4)-MONTH('LOJAS'!$C$7)+1)))</x:f>
        <x:v>18</x:v>
      </x:c>
      <x:c r="AK11" s="53" t="n">
        <x:f>IF(AK$4&lt;'LOJAS'!$C$7,0,MIN(18,MAX(1,(YEAR(AK$4)-YEAR('LOJAS'!$C$7))*12+MONTH(AK$4)-MONTH('LOJAS'!$C$7)+1)))</x:f>
        <x:v>18</x:v>
      </x:c>
    </x:row>
    <x:row r="12">
      <x:c r="A12" t="str">
        <x:v>Araraquara - receita</x:v>
      </x:c>
      <x:c r="B12" s="24" t="n">
        <x:f>IF(B11=0,0,'LOJAS'!$D$7/12*INDEX('PREMISSAS'!$B$21:$B$38,B11))</x:f>
        <x:v>0</x:v>
      </x:c>
      <x:c r="C12" s="24" t="n">
        <x:f>IF(C11=0,0,'LOJAS'!$D$7/12*INDEX('PREMISSAS'!$B$21:$B$38,C11))</x:f>
        <x:v>0</x:v>
      </x:c>
      <x:c r="D12" s="24" t="n">
        <x:f>IF(D11=0,0,'LOJAS'!$D$7/12*INDEX('PREMISSAS'!$B$21:$B$38,D11))</x:f>
        <x:v>0</x:v>
      </x:c>
      <x:c r="E12" s="24" t="n">
        <x:f>IF(E11=0,0,'LOJAS'!$D$7/12*INDEX('PREMISSAS'!$B$21:$B$38,E11))</x:f>
        <x:v>0</x:v>
      </x:c>
      <x:c r="F12" s="24" t="n">
        <x:f>IF(F11=0,0,'LOJAS'!$D$7/12*INDEX('PREMISSAS'!$B$21:$B$38,F11))</x:f>
        <x:v>0</x:v>
      </x:c>
      <x:c r="G12" s="24" t="n">
        <x:f>IF(G11=0,0,'LOJAS'!$D$7/12*INDEX('PREMISSAS'!$B$21:$B$38,G11))</x:f>
        <x:v>0</x:v>
      </x:c>
      <x:c r="H12" s="24" t="n">
        <x:f>IF(H11=0,0,'LOJAS'!$D$7/12*INDEX('PREMISSAS'!$B$21:$B$38,H11))</x:f>
        <x:v>0.6041666666666666</x:v>
      </x:c>
      <x:c r="I12" s="24" t="n">
        <x:f>IF(I11=0,0,'LOJAS'!$D$7/12*INDEX('PREMISSAS'!$B$21:$B$38,I11))</x:f>
        <x:v>0.8458333333333332</x:v>
      </x:c>
      <x:c r="J12" s="24" t="n">
        <x:f>IF(J11=0,0,'LOJAS'!$D$7/12*INDEX('PREMISSAS'!$B$21:$B$38,J11))</x:f>
        <x:v>1.0875</x:v>
      </x:c>
      <x:c r="K12" s="24" t="n">
        <x:f>IF(K11=0,0,'LOJAS'!$D$7/12*INDEX('PREMISSAS'!$B$21:$B$38,K11))</x:f>
        <x:v>1.3291666666666666</x:v>
      </x:c>
      <x:c r="L12" s="24" t="n">
        <x:f>IF(L11=0,0,'LOJAS'!$D$7/12*INDEX('PREMISSAS'!$B$21:$B$38,L11))</x:f>
        <x:v>1.5708333333333333</x:v>
      </x:c>
      <x:c r="M12" s="24" t="n">
        <x:f>IF(M11=0,0,'LOJAS'!$D$7/12*INDEX('PREMISSAS'!$B$21:$B$38,M11))</x:f>
        <x:v>1.7399999999999998</x:v>
      </x:c>
      <x:c r="N12" s="24" t="n">
        <x:f>IF(N11=0,0,'LOJAS'!$D$7/12*INDEX('PREMISSAS'!$B$21:$B$38,N11))</x:f>
        <x:v>1.885</x:v>
      </x:c>
      <x:c r="O12" s="24" t="n">
        <x:f>IF(O11=0,0,'LOJAS'!$D$7/12*INDEX('PREMISSAS'!$B$21:$B$38,O11))</x:f>
        <x:v>2.005833333333333</x:v>
      </x:c>
      <x:c r="P12" s="24" t="n">
        <x:f>IF(P11=0,0,'LOJAS'!$D$7/12*INDEX('PREMISSAS'!$B$21:$B$38,P11))</x:f>
        <x:v>2.1025</x:v>
      </x:c>
      <x:c r="Q12" s="24" t="n">
        <x:f>IF(Q11=0,0,'LOJAS'!$D$7/12*INDEX('PREMISSAS'!$B$21:$B$38,Q11))</x:f>
        <x:v>2.175</x:v>
      </x:c>
      <x:c r="R12" s="24" t="n">
        <x:f>IF(R11=0,0,'LOJAS'!$D$7/12*INDEX('PREMISSAS'!$B$21:$B$38,R11))</x:f>
        <x:v>2.223333333333333</x:v>
      </x:c>
      <x:c r="S12" s="24" t="n">
        <x:f>IF(S11=0,0,'LOJAS'!$D$7/12*INDEX('PREMISSAS'!$B$21:$B$38,S11))</x:f>
        <x:v>2.2716666666666665</x:v>
      </x:c>
      <x:c r="T12" s="24" t="n">
        <x:f>IF(T11=0,0,'LOJAS'!$D$7/12*INDEX('PREMISSAS'!$B$21:$B$38,T11))</x:f>
        <x:v>2.32</x:v>
      </x:c>
      <x:c r="U12" s="24" t="n">
        <x:f>IF(U11=0,0,'LOJAS'!$D$7/12*INDEX('PREMISSAS'!$B$21:$B$38,U11))</x:f>
        <x:v>2.3441666666666663</x:v>
      </x:c>
      <x:c r="V12" s="24" t="n">
        <x:f>IF(V11=0,0,'LOJAS'!$D$7/12*INDEX('PREMISSAS'!$B$21:$B$38,V11))</x:f>
        <x:v>2.368333333333333</x:v>
      </x:c>
      <x:c r="W12" s="24" t="n">
        <x:f>IF(W11=0,0,'LOJAS'!$D$7/12*INDEX('PREMISSAS'!$B$21:$B$38,W11))</x:f>
        <x:v>2.3924999999999996</x:v>
      </x:c>
      <x:c r="X12" s="24" t="n">
        <x:f>IF(X11=0,0,'LOJAS'!$D$7/12*INDEX('PREMISSAS'!$B$21:$B$38,X11))</x:f>
        <x:v>2.4166666666666665</x:v>
      </x:c>
      <x:c r="Y12" s="24" t="n">
        <x:f>IF(Y11=0,0,'LOJAS'!$D$7/12*INDEX('PREMISSAS'!$B$21:$B$38,Y11))</x:f>
        <x:v>2.4166666666666665</x:v>
      </x:c>
      <x:c r="Z12" s="24" t="n">
        <x:f>IF(Z11=0,0,'LOJAS'!$D$7/12*INDEX('PREMISSAS'!$B$21:$B$38,Z11))</x:f>
        <x:v>2.4166666666666665</x:v>
      </x:c>
      <x:c r="AA12" s="24" t="n">
        <x:f>IF(AA11=0,0,'LOJAS'!$D$7/12*INDEX('PREMISSAS'!$B$21:$B$38,AA11))</x:f>
        <x:v>2.4166666666666665</x:v>
      </x:c>
      <x:c r="AB12" s="24" t="n">
        <x:f>IF(AB11=0,0,'LOJAS'!$D$7/12*INDEX('PREMISSAS'!$B$21:$B$38,AB11))</x:f>
        <x:v>2.4166666666666665</x:v>
      </x:c>
      <x:c r="AC12" s="24" t="n">
        <x:f>IF(AC11=0,0,'LOJAS'!$D$7/12*INDEX('PREMISSAS'!$B$21:$B$38,AC11))</x:f>
        <x:v>2.4166666666666665</x:v>
      </x:c>
      <x:c r="AD12" s="24" t="n">
        <x:f>IF(AD11=0,0,'LOJAS'!$D$7/12*INDEX('PREMISSAS'!$B$21:$B$38,AD11))</x:f>
        <x:v>2.4166666666666665</x:v>
      </x:c>
      <x:c r="AE12" s="24" t="n">
        <x:f>IF(AE11=0,0,'LOJAS'!$D$7/12*INDEX('PREMISSAS'!$B$21:$B$38,AE11))</x:f>
        <x:v>2.4166666666666665</x:v>
      </x:c>
      <x:c r="AF12" s="24" t="n">
        <x:f>IF(AF11=0,0,'LOJAS'!$D$7/12*INDEX('PREMISSAS'!$B$21:$B$38,AF11))</x:f>
        <x:v>2.4166666666666665</x:v>
      </x:c>
      <x:c r="AG12" s="24" t="n">
        <x:f>IF(AG11=0,0,'LOJAS'!$D$7/12*INDEX('PREMISSAS'!$B$21:$B$38,AG11))</x:f>
        <x:v>2.4166666666666665</x:v>
      </x:c>
      <x:c r="AH12" s="24" t="n">
        <x:f>IF(AH11=0,0,'LOJAS'!$D$7/12*INDEX('PREMISSAS'!$B$21:$B$38,AH11))</x:f>
        <x:v>2.4166666666666665</x:v>
      </x:c>
      <x:c r="AI12" s="24" t="n">
        <x:f>IF(AI11=0,0,'LOJAS'!$D$7/12*INDEX('PREMISSAS'!$B$21:$B$38,AI11))</x:f>
        <x:v>2.4166666666666665</x:v>
      </x:c>
      <x:c r="AJ12" s="24" t="n">
        <x:f>IF(AJ11=0,0,'LOJAS'!$D$7/12*INDEX('PREMISSAS'!$B$21:$B$38,AJ11))</x:f>
        <x:v>2.4166666666666665</x:v>
      </x:c>
      <x:c r="AK12" s="24" t="n">
        <x:f>IF(AK11=0,0,'LOJAS'!$D$7/12*INDEX('PREMISSAS'!$B$21:$B$38,AK11))</x:f>
        <x:v>2.4166666666666665</x:v>
      </x:c>
    </x:row>
    <x:row r="13">
      <x:c r="A13" t="str">
        <x:v>Araraquara - EBITDA</x:v>
      </x:c>
      <x:c r="B13" s="24" t="n">
        <x:f>IF(B12=0,0,B12*'LOJAS'!$E$7*INDEX('PREMISSAS'!$C$21:$C$38,B11))</x:f>
        <x:v>0</x:v>
      </x:c>
      <x:c r="C13" s="24" t="n">
        <x:f>IF(C12=0,0,C12*'LOJAS'!$E$7*INDEX('PREMISSAS'!$C$21:$C$38,C11))</x:f>
        <x:v>0</x:v>
      </x:c>
      <x:c r="D13" s="24" t="n">
        <x:f>IF(D12=0,0,D12*'LOJAS'!$E$7*INDEX('PREMISSAS'!$C$21:$C$38,D11))</x:f>
        <x:v>0</x:v>
      </x:c>
      <x:c r="E13" s="24" t="n">
        <x:f>IF(E12=0,0,E12*'LOJAS'!$E$7*INDEX('PREMISSAS'!$C$21:$C$38,E11))</x:f>
        <x:v>0</x:v>
      </x:c>
      <x:c r="F13" s="24" t="n">
        <x:f>IF(F12=0,0,F12*'LOJAS'!$E$7*INDEX('PREMISSAS'!$C$21:$C$38,F11))</x:f>
        <x:v>0</x:v>
      </x:c>
      <x:c r="G13" s="24" t="n">
        <x:f>IF(G12=0,0,G12*'LOJAS'!$E$7*INDEX('PREMISSAS'!$C$21:$C$38,G11))</x:f>
        <x:v>0</x:v>
      </x:c>
      <x:c r="H13" s="24" t="n">
        <x:f>IF(H12=0,0,H12*'LOJAS'!$E$7*INDEX('PREMISSAS'!$C$21:$C$38,H11))</x:f>
        <x:v>-0.04585625000000001</x:v>
      </x:c>
      <x:c r="I13" s="24" t="n">
        <x:f>IF(I12=0,0,I12*'LOJAS'!$E$7*INDEX('PREMISSAS'!$C$21:$C$38,I11))</x:f>
        <x:v>-0.032683000000000004</x:v>
      </x:c>
      <x:c r="J13" s="24" t="n">
        <x:f>IF(J12=0,0,J12*'LOJAS'!$E$7*INDEX('PREMISSAS'!$C$21:$C$38,J11))</x:f>
        <x:v>0</x:v>
      </x:c>
      <x:c r="K13" s="24" t="n">
        <x:f>IF(K12=0,0,K12*'LOJAS'!$E$7*INDEX('PREMISSAS'!$C$21:$C$38,K11))</x:f>
        <x:v>0.05135900000000001</x:v>
      </x:c>
      <x:c r="L13" s="24" t="n">
        <x:f>IF(L12=0,0,L12*'LOJAS'!$E$7*INDEX('PREMISSAS'!$C$21:$C$38,L11))</x:f>
        <x:v>0.10838750000000001</x:v>
      </x:c>
      <x:c r="M13" s="24" t="n">
        <x:f>IF(M12=0,0,M12*'LOJAS'!$E$7*INDEX('PREMISSAS'!$C$21:$C$38,M11))</x:f>
        <x:v>0.156078</x:v>
      </x:c>
      <x:c r="N13" s="24" t="n">
        <x:f>IF(N12=0,0,N12*'LOJAS'!$E$7*INDEX('PREMISSAS'!$C$21:$C$38,N11))</x:f>
        <x:v>0.20290140000000004</x:v>
      </x:c>
      <x:c r="O13" s="24" t="n">
        <x:f>IF(O12=0,0,O12*'LOJAS'!$E$7*INDEX('PREMISSAS'!$C$21:$C$38,O11))</x:f>
        <x:v>0.23805229999999997</x:v>
      </x:c>
      <x:c r="P13" s="24" t="n">
        <x:f>IF(P12=0,0,P12*'LOJAS'!$E$7*INDEX('PREMISSAS'!$C$21:$C$38,P11))</x:f>
        <x:v>0.26113050000000004</x:v>
      </x:c>
      <x:c r="Q13" s="24" t="n">
        <x:f>IF(Q12=0,0,Q12*'LOJAS'!$E$7*INDEX('PREMISSAS'!$C$21:$C$38,Q11))</x:f>
        <x:v>0.28214100000000003</x:v>
      </x:c>
      <x:c r="R13" s="24" t="n">
        <x:f>IF(R12=0,0,R12*'LOJAS'!$E$7*INDEX('PREMISSAS'!$C$21:$C$38,R11))</x:f>
        <x:v>0.29454719999999995</x:v>
      </x:c>
      <x:c r="S13" s="24" t="n">
        <x:f>IF(S12=0,0,S12*'LOJAS'!$E$7*INDEX('PREMISSAS'!$C$21:$C$38,S11))</x:f>
        <x:v>0.3072202</x:v>
      </x:c>
      <x:c r="T13" s="24" t="n">
        <x:f>IF(T12=0,0,T12*'LOJAS'!$E$7*INDEX('PREMISSAS'!$C$21:$C$38,T11))</x:f>
        <x:v>0.32016</x:v>
      </x:c>
      <x:c r="U13" s="24" t="n">
        <x:f>IF(U12=0,0,U12*'LOJAS'!$E$7*INDEX('PREMISSAS'!$C$21:$C$38,U11))</x:f>
        <x:v>0.323495</x:v>
      </x:c>
      <x:c r="V13" s="24" t="n">
        <x:f>IF(V12=0,0,V12*'LOJAS'!$E$7*INDEX('PREMISSAS'!$C$21:$C$38,V11))</x:f>
        <x:v>0.32683</x:v>
      </x:c>
      <x:c r="W13" s="24" t="n">
        <x:f>IF(W12=0,0,W12*'LOJAS'!$E$7*INDEX('PREMISSAS'!$C$21:$C$38,W11))</x:f>
        <x:v>0.330165</x:v>
      </x:c>
      <x:c r="X13" s="24" t="n">
        <x:f>IF(X12=0,0,X12*'LOJAS'!$E$7*INDEX('PREMISSAS'!$C$21:$C$38,X11))</x:f>
        <x:v>0.3335</x:v>
      </x:c>
      <x:c r="Y13" s="24" t="n">
        <x:f>IF(Y12=0,0,Y12*'LOJAS'!$E$7*INDEX('PREMISSAS'!$C$21:$C$38,Y11))</x:f>
        <x:v>0.3335</x:v>
      </x:c>
      <x:c r="Z13" s="24" t="n">
        <x:f>IF(Z12=0,0,Z12*'LOJAS'!$E$7*INDEX('PREMISSAS'!$C$21:$C$38,Z11))</x:f>
        <x:v>0.3335</x:v>
      </x:c>
      <x:c r="AA13" s="24" t="n">
        <x:f>IF(AA12=0,0,AA12*'LOJAS'!$E$7*INDEX('PREMISSAS'!$C$21:$C$38,AA11))</x:f>
        <x:v>0.3335</x:v>
      </x:c>
      <x:c r="AB13" s="24" t="n">
        <x:f>IF(AB12=0,0,AB12*'LOJAS'!$E$7*INDEX('PREMISSAS'!$C$21:$C$38,AB11))</x:f>
        <x:v>0.3335</x:v>
      </x:c>
      <x:c r="AC13" s="24" t="n">
        <x:f>IF(AC12=0,0,AC12*'LOJAS'!$E$7*INDEX('PREMISSAS'!$C$21:$C$38,AC11))</x:f>
        <x:v>0.3335</x:v>
      </x:c>
      <x:c r="AD13" s="24" t="n">
        <x:f>IF(AD12=0,0,AD12*'LOJAS'!$E$7*INDEX('PREMISSAS'!$C$21:$C$38,AD11))</x:f>
        <x:v>0.3335</x:v>
      </x:c>
      <x:c r="AE13" s="24" t="n">
        <x:f>IF(AE12=0,0,AE12*'LOJAS'!$E$7*INDEX('PREMISSAS'!$C$21:$C$38,AE11))</x:f>
        <x:v>0.3335</x:v>
      </x:c>
      <x:c r="AF13" s="24" t="n">
        <x:f>IF(AF12=0,0,AF12*'LOJAS'!$E$7*INDEX('PREMISSAS'!$C$21:$C$38,AF11))</x:f>
        <x:v>0.3335</x:v>
      </x:c>
      <x:c r="AG13" s="24" t="n">
        <x:f>IF(AG12=0,0,AG12*'LOJAS'!$E$7*INDEX('PREMISSAS'!$C$21:$C$38,AG11))</x:f>
        <x:v>0.3335</x:v>
      </x:c>
      <x:c r="AH13" s="24" t="n">
        <x:f>IF(AH12=0,0,AH12*'LOJAS'!$E$7*INDEX('PREMISSAS'!$C$21:$C$38,AH11))</x:f>
        <x:v>0.3335</x:v>
      </x:c>
      <x:c r="AI13" s="24" t="n">
        <x:f>IF(AI12=0,0,AI12*'LOJAS'!$E$7*INDEX('PREMISSAS'!$C$21:$C$38,AI11))</x:f>
        <x:v>0.3335</x:v>
      </x:c>
      <x:c r="AJ13" s="24" t="n">
        <x:f>IF(AJ12=0,0,AJ12*'LOJAS'!$E$7*INDEX('PREMISSAS'!$C$21:$C$38,AJ11))</x:f>
        <x:v>0.3335</x:v>
      </x:c>
      <x:c r="AK13" s="24" t="n">
        <x:f>IF(AK12=0,0,AK12*'LOJAS'!$E$7*INDEX('PREMISSAS'!$C$21:$C$38,AK11))</x:f>
        <x:v>0.3335</x:v>
      </x:c>
    </x:row>
    <x:row r="14">
      <x:c r="A14" t="str">
        <x:v>Araraquara - margem EBITDA</x:v>
      </x:c>
      <x:c r="B14" s="22" t="n">
        <x:f>IF(B12=0,0,B13/B12)</x:f>
        <x:v>0</x:v>
      </x:c>
      <x:c r="C14" s="22" t="n">
        <x:f>IF(C12=0,0,C13/C12)</x:f>
        <x:v>0</x:v>
      </x:c>
      <x:c r="D14" s="22" t="n">
        <x:f>IF(D12=0,0,D13/D12)</x:f>
        <x:v>0</x:v>
      </x:c>
      <x:c r="E14" s="22" t="n">
        <x:f>IF(E12=0,0,E13/E12)</x:f>
        <x:v>0</x:v>
      </x:c>
      <x:c r="F14" s="22" t="n">
        <x:f>IF(F12=0,0,F13/F12)</x:f>
        <x:v>0</x:v>
      </x:c>
      <x:c r="G14" s="22" t="n">
        <x:f>IF(G12=0,0,G13/G12)</x:f>
        <x:v>0</x:v>
      </x:c>
      <x:c r="H14" s="22" t="n">
        <x:f>IF(H12=0,0,H13/H12)</x:f>
        <x:v>-0.07590000000000002</x:v>
      </x:c>
      <x:c r="I14" s="22" t="n">
        <x:f>IF(I12=0,0,I13/I12)</x:f>
        <x:v>-0.03864000000000001</x:v>
      </x:c>
      <x:c r="J14" s="22" t="n">
        <x:f>IF(J12=0,0,J13/J12)</x:f>
        <x:v>0</x:v>
      </x:c>
      <x:c r="K14" s="22" t="n">
        <x:f>IF(K12=0,0,K13/K12)</x:f>
        <x:v>0.03864000000000001</x:v>
      </x:c>
      <x:c r="L14" s="22" t="n">
        <x:f>IF(L12=0,0,L13/L12)</x:f>
        <x:v>0.069</x:v>
      </x:c>
      <x:c r="M14" s="22" t="n">
        <x:f>IF(M12=0,0,M13/M12)</x:f>
        <x:v>0.0897</x:v>
      </x:c>
      <x:c r="N14" s="22" t="n">
        <x:f>IF(N12=0,0,N13/N12)</x:f>
        <x:v>0.10764000000000001</x:v>
      </x:c>
      <x:c r="O14" s="22" t="n">
        <x:f>IF(O12=0,0,O13/O12)</x:f>
        <x:v>0.11868000000000001</x:v>
      </x:c>
      <x:c r="P14" s="22" t="n">
        <x:f>IF(P12=0,0,P13/P12)</x:f>
        <x:v>0.12420000000000002</x:v>
      </x:c>
      <x:c r="Q14" s="22" t="n">
        <x:f>IF(Q12=0,0,Q13/Q12)</x:f>
        <x:v>0.12972000000000003</x:v>
      </x:c>
      <x:c r="R14" s="22" t="n">
        <x:f>IF(R12=0,0,R13/R12)</x:f>
        <x:v>0.13248</x:v>
      </x:c>
      <x:c r="S14" s="22" t="n">
        <x:f>IF(S12=0,0,S13/S12)</x:f>
        <x:v>0.13524</x:v>
      </x:c>
      <x:c r="T14" s="22" t="n">
        <x:f>IF(T12=0,0,T13/T12)</x:f>
        <x:v>0.138</x:v>
      </x:c>
      <x:c r="U14" s="22" t="n">
        <x:f>IF(U12=0,0,U13/U12)</x:f>
        <x:v>0.138</x:v>
      </x:c>
      <x:c r="V14" s="22" t="n">
        <x:f>IF(V12=0,0,V13/V12)</x:f>
        <x:v>0.138</x:v>
      </x:c>
      <x:c r="W14" s="22" t="n">
        <x:f>IF(W12=0,0,W13/W12)</x:f>
        <x:v>0.138</x:v>
      </x:c>
      <x:c r="X14" s="22" t="n">
        <x:f>IF(X12=0,0,X13/X12)</x:f>
        <x:v>0.138</x:v>
      </x:c>
      <x:c r="Y14" s="22" t="n">
        <x:f>IF(Y12=0,0,Y13/Y12)</x:f>
        <x:v>0.138</x:v>
      </x:c>
      <x:c r="Z14" s="22" t="n">
        <x:f>IF(Z12=0,0,Z13/Z12)</x:f>
        <x:v>0.138</x:v>
      </x:c>
      <x:c r="AA14" s="22" t="n">
        <x:f>IF(AA12=0,0,AA13/AA12)</x:f>
        <x:v>0.138</x:v>
      </x:c>
      <x:c r="AB14" s="22" t="n">
        <x:f>IF(AB12=0,0,AB13/AB12)</x:f>
        <x:v>0.138</x:v>
      </x:c>
      <x:c r="AC14" s="22" t="n">
        <x:f>IF(AC12=0,0,AC13/AC12)</x:f>
        <x:v>0.138</x:v>
      </x:c>
      <x:c r="AD14" s="22" t="n">
        <x:f>IF(AD12=0,0,AD13/AD12)</x:f>
        <x:v>0.138</x:v>
      </x:c>
      <x:c r="AE14" s="22" t="n">
        <x:f>IF(AE12=0,0,AE13/AE12)</x:f>
        <x:v>0.138</x:v>
      </x:c>
      <x:c r="AF14" s="22" t="n">
        <x:f>IF(AF12=0,0,AF13/AF12)</x:f>
        <x:v>0.138</x:v>
      </x:c>
      <x:c r="AG14" s="22" t="n">
        <x:f>IF(AG12=0,0,AG13/AG12)</x:f>
        <x:v>0.138</x:v>
      </x:c>
      <x:c r="AH14" s="22" t="n">
        <x:f>IF(AH12=0,0,AH13/AH12)</x:f>
        <x:v>0.138</x:v>
      </x:c>
      <x:c r="AI14" s="22" t="n">
        <x:f>IF(AI12=0,0,AI13/AI12)</x:f>
        <x:v>0.138</x:v>
      </x:c>
      <x:c r="AJ14" s="22" t="n">
        <x:f>IF(AJ12=0,0,AJ13/AJ12)</x:f>
        <x:v>0.138</x:v>
      </x:c>
      <x:c r="AK14" s="22" t="n">
        <x:f>IF(AK12=0,0,AK13/AK12)</x:f>
        <x:v>0.138</x:v>
      </x:c>
    </x:row>
    <x:row r="16">
      <x:c r="A16" t="str">
        <x:v>São Carlos - mês desde abertura</x:v>
      </x:c>
      <x:c r="B16" s="53" t="n">
        <x:f>IF(B$4&lt;'LOJAS'!$C$8,0,MIN(18,MAX(1,(YEAR(B$4)-YEAR('LOJAS'!$C$8))*12+MONTH(B$4)-MONTH('LOJAS'!$C$8)+1)))</x:f>
        <x:v>0</x:v>
      </x:c>
      <x:c r="C16" s="53" t="n">
        <x:f>IF(C$4&lt;'LOJAS'!$C$8,0,MIN(18,MAX(1,(YEAR(C$4)-YEAR('LOJAS'!$C$8))*12+MONTH(C$4)-MONTH('LOJAS'!$C$8)+1)))</x:f>
        <x:v>0</x:v>
      </x:c>
      <x:c r="D16" s="53" t="n">
        <x:f>IF(D$4&lt;'LOJAS'!$C$8,0,MIN(18,MAX(1,(YEAR(D$4)-YEAR('LOJAS'!$C$8))*12+MONTH(D$4)-MONTH('LOJAS'!$C$8)+1)))</x:f>
        <x:v>0</x:v>
      </x:c>
      <x:c r="E16" s="53" t="n">
        <x:f>IF(E$4&lt;'LOJAS'!$C$8,0,MIN(18,MAX(1,(YEAR(E$4)-YEAR('LOJAS'!$C$8))*12+MONTH(E$4)-MONTH('LOJAS'!$C$8)+1)))</x:f>
        <x:v>0</x:v>
      </x:c>
      <x:c r="F16" s="53" t="n">
        <x:f>IF(F$4&lt;'LOJAS'!$C$8,0,MIN(18,MAX(1,(YEAR(F$4)-YEAR('LOJAS'!$C$8))*12+MONTH(F$4)-MONTH('LOJAS'!$C$8)+1)))</x:f>
        <x:v>0</x:v>
      </x:c>
      <x:c r="G16" s="53" t="n">
        <x:f>IF(G$4&lt;'LOJAS'!$C$8,0,MIN(18,MAX(1,(YEAR(G$4)-YEAR('LOJAS'!$C$8))*12+MONTH(G$4)-MONTH('LOJAS'!$C$8)+1)))</x:f>
        <x:v>0</x:v>
      </x:c>
      <x:c r="H16" s="53" t="n">
        <x:f>IF(H$4&lt;'LOJAS'!$C$8,0,MIN(18,MAX(1,(YEAR(H$4)-YEAR('LOJAS'!$C$8))*12+MONTH(H$4)-MONTH('LOJAS'!$C$8)+1)))</x:f>
        <x:v>0</x:v>
      </x:c>
      <x:c r="I16" s="53" t="n">
        <x:f>IF(I$4&lt;'LOJAS'!$C$8,0,MIN(18,MAX(1,(YEAR(I$4)-YEAR('LOJAS'!$C$8))*12+MONTH(I$4)-MONTH('LOJAS'!$C$8)+1)))</x:f>
        <x:v>0</x:v>
      </x:c>
      <x:c r="J16" s="53" t="n">
        <x:f>IF(J$4&lt;'LOJAS'!$C$8,0,MIN(18,MAX(1,(YEAR(J$4)-YEAR('LOJAS'!$C$8))*12+MONTH(J$4)-MONTH('LOJAS'!$C$8)+1)))</x:f>
        <x:v>0</x:v>
      </x:c>
      <x:c r="K16" s="53" t="n">
        <x:f>IF(K$4&lt;'LOJAS'!$C$8,0,MIN(18,MAX(1,(YEAR(K$4)-YEAR('LOJAS'!$C$8))*12+MONTH(K$4)-MONTH('LOJAS'!$C$8)+1)))</x:f>
        <x:v>1</x:v>
      </x:c>
      <x:c r="L16" s="53" t="n">
        <x:f>IF(L$4&lt;'LOJAS'!$C$8,0,MIN(18,MAX(1,(YEAR(L$4)-YEAR('LOJAS'!$C$8))*12+MONTH(L$4)-MONTH('LOJAS'!$C$8)+1)))</x:f>
        <x:v>2</x:v>
      </x:c>
      <x:c r="M16" s="53" t="n">
        <x:f>IF(M$4&lt;'LOJAS'!$C$8,0,MIN(18,MAX(1,(YEAR(M$4)-YEAR('LOJAS'!$C$8))*12+MONTH(M$4)-MONTH('LOJAS'!$C$8)+1)))</x:f>
        <x:v>3</x:v>
      </x:c>
      <x:c r="N16" s="53" t="n">
        <x:f>IF(N$4&lt;'LOJAS'!$C$8,0,MIN(18,MAX(1,(YEAR(N$4)-YEAR('LOJAS'!$C$8))*12+MONTH(N$4)-MONTH('LOJAS'!$C$8)+1)))</x:f>
        <x:v>4</x:v>
      </x:c>
      <x:c r="O16" s="53" t="n">
        <x:f>IF(O$4&lt;'LOJAS'!$C$8,0,MIN(18,MAX(1,(YEAR(O$4)-YEAR('LOJAS'!$C$8))*12+MONTH(O$4)-MONTH('LOJAS'!$C$8)+1)))</x:f>
        <x:v>5</x:v>
      </x:c>
      <x:c r="P16" s="53" t="n">
        <x:f>IF(P$4&lt;'LOJAS'!$C$8,0,MIN(18,MAX(1,(YEAR(P$4)-YEAR('LOJAS'!$C$8))*12+MONTH(P$4)-MONTH('LOJAS'!$C$8)+1)))</x:f>
        <x:v>6</x:v>
      </x:c>
      <x:c r="Q16" s="53" t="n">
        <x:f>IF(Q$4&lt;'LOJAS'!$C$8,0,MIN(18,MAX(1,(YEAR(Q$4)-YEAR('LOJAS'!$C$8))*12+MONTH(Q$4)-MONTH('LOJAS'!$C$8)+1)))</x:f>
        <x:v>7</x:v>
      </x:c>
      <x:c r="R16" s="53" t="n">
        <x:f>IF(R$4&lt;'LOJAS'!$C$8,0,MIN(18,MAX(1,(YEAR(R$4)-YEAR('LOJAS'!$C$8))*12+MONTH(R$4)-MONTH('LOJAS'!$C$8)+1)))</x:f>
        <x:v>8</x:v>
      </x:c>
      <x:c r="S16" s="53" t="n">
        <x:f>IF(S$4&lt;'LOJAS'!$C$8,0,MIN(18,MAX(1,(YEAR(S$4)-YEAR('LOJAS'!$C$8))*12+MONTH(S$4)-MONTH('LOJAS'!$C$8)+1)))</x:f>
        <x:v>9</x:v>
      </x:c>
      <x:c r="T16" s="53" t="n">
        <x:f>IF(T$4&lt;'LOJAS'!$C$8,0,MIN(18,MAX(1,(YEAR(T$4)-YEAR('LOJAS'!$C$8))*12+MONTH(T$4)-MONTH('LOJAS'!$C$8)+1)))</x:f>
        <x:v>10</x:v>
      </x:c>
      <x:c r="U16" s="53" t="n">
        <x:f>IF(U$4&lt;'LOJAS'!$C$8,0,MIN(18,MAX(1,(YEAR(U$4)-YEAR('LOJAS'!$C$8))*12+MONTH(U$4)-MONTH('LOJAS'!$C$8)+1)))</x:f>
        <x:v>11</x:v>
      </x:c>
      <x:c r="V16" s="53" t="n">
        <x:f>IF(V$4&lt;'LOJAS'!$C$8,0,MIN(18,MAX(1,(YEAR(V$4)-YEAR('LOJAS'!$C$8))*12+MONTH(V$4)-MONTH('LOJAS'!$C$8)+1)))</x:f>
        <x:v>12</x:v>
      </x:c>
      <x:c r="W16" s="53" t="n">
        <x:f>IF(W$4&lt;'LOJAS'!$C$8,0,MIN(18,MAX(1,(YEAR(W$4)-YEAR('LOJAS'!$C$8))*12+MONTH(W$4)-MONTH('LOJAS'!$C$8)+1)))</x:f>
        <x:v>13</x:v>
      </x:c>
      <x:c r="X16" s="53" t="n">
        <x:f>IF(X$4&lt;'LOJAS'!$C$8,0,MIN(18,MAX(1,(YEAR(X$4)-YEAR('LOJAS'!$C$8))*12+MONTH(X$4)-MONTH('LOJAS'!$C$8)+1)))</x:f>
        <x:v>14</x:v>
      </x:c>
      <x:c r="Y16" s="53" t="n">
        <x:f>IF(Y$4&lt;'LOJAS'!$C$8,0,MIN(18,MAX(1,(YEAR(Y$4)-YEAR('LOJAS'!$C$8))*12+MONTH(Y$4)-MONTH('LOJAS'!$C$8)+1)))</x:f>
        <x:v>15</x:v>
      </x:c>
      <x:c r="Z16" s="53" t="n">
        <x:f>IF(Z$4&lt;'LOJAS'!$C$8,0,MIN(18,MAX(1,(YEAR(Z$4)-YEAR('LOJAS'!$C$8))*12+MONTH(Z$4)-MONTH('LOJAS'!$C$8)+1)))</x:f>
        <x:v>16</x:v>
      </x:c>
      <x:c r="AA16" s="53" t="n">
        <x:f>IF(AA$4&lt;'LOJAS'!$C$8,0,MIN(18,MAX(1,(YEAR(AA$4)-YEAR('LOJAS'!$C$8))*12+MONTH(AA$4)-MONTH('LOJAS'!$C$8)+1)))</x:f>
        <x:v>17</x:v>
      </x:c>
      <x:c r="AB16" s="53" t="n">
        <x:f>IF(AB$4&lt;'LOJAS'!$C$8,0,MIN(18,MAX(1,(YEAR(AB$4)-YEAR('LOJAS'!$C$8))*12+MONTH(AB$4)-MONTH('LOJAS'!$C$8)+1)))</x:f>
        <x:v>18</x:v>
      </x:c>
      <x:c r="AC16" s="53" t="n">
        <x:f>IF(AC$4&lt;'LOJAS'!$C$8,0,MIN(18,MAX(1,(YEAR(AC$4)-YEAR('LOJAS'!$C$8))*12+MONTH(AC$4)-MONTH('LOJAS'!$C$8)+1)))</x:f>
        <x:v>18</x:v>
      </x:c>
      <x:c r="AD16" s="53" t="n">
        <x:f>IF(AD$4&lt;'LOJAS'!$C$8,0,MIN(18,MAX(1,(YEAR(AD$4)-YEAR('LOJAS'!$C$8))*12+MONTH(AD$4)-MONTH('LOJAS'!$C$8)+1)))</x:f>
        <x:v>18</x:v>
      </x:c>
      <x:c r="AE16" s="53" t="n">
        <x:f>IF(AE$4&lt;'LOJAS'!$C$8,0,MIN(18,MAX(1,(YEAR(AE$4)-YEAR('LOJAS'!$C$8))*12+MONTH(AE$4)-MONTH('LOJAS'!$C$8)+1)))</x:f>
        <x:v>18</x:v>
      </x:c>
      <x:c r="AF16" s="53" t="n">
        <x:f>IF(AF$4&lt;'LOJAS'!$C$8,0,MIN(18,MAX(1,(YEAR(AF$4)-YEAR('LOJAS'!$C$8))*12+MONTH(AF$4)-MONTH('LOJAS'!$C$8)+1)))</x:f>
        <x:v>18</x:v>
      </x:c>
      <x:c r="AG16" s="53" t="n">
        <x:f>IF(AG$4&lt;'LOJAS'!$C$8,0,MIN(18,MAX(1,(YEAR(AG$4)-YEAR('LOJAS'!$C$8))*12+MONTH(AG$4)-MONTH('LOJAS'!$C$8)+1)))</x:f>
        <x:v>18</x:v>
      </x:c>
      <x:c r="AH16" s="53" t="n">
        <x:f>IF(AH$4&lt;'LOJAS'!$C$8,0,MIN(18,MAX(1,(YEAR(AH$4)-YEAR('LOJAS'!$C$8))*12+MONTH(AH$4)-MONTH('LOJAS'!$C$8)+1)))</x:f>
        <x:v>18</x:v>
      </x:c>
      <x:c r="AI16" s="53" t="n">
        <x:f>IF(AI$4&lt;'LOJAS'!$C$8,0,MIN(18,MAX(1,(YEAR(AI$4)-YEAR('LOJAS'!$C$8))*12+MONTH(AI$4)-MONTH('LOJAS'!$C$8)+1)))</x:f>
        <x:v>18</x:v>
      </x:c>
      <x:c r="AJ16" s="53" t="n">
        <x:f>IF(AJ$4&lt;'LOJAS'!$C$8,0,MIN(18,MAX(1,(YEAR(AJ$4)-YEAR('LOJAS'!$C$8))*12+MONTH(AJ$4)-MONTH('LOJAS'!$C$8)+1)))</x:f>
        <x:v>18</x:v>
      </x:c>
      <x:c r="AK16" s="53" t="n">
        <x:f>IF(AK$4&lt;'LOJAS'!$C$8,0,MIN(18,MAX(1,(YEAR(AK$4)-YEAR('LOJAS'!$C$8))*12+MONTH(AK$4)-MONTH('LOJAS'!$C$8)+1)))</x:f>
        <x:v>18</x:v>
      </x:c>
    </x:row>
    <x:row r="17">
      <x:c r="A17" t="str">
        <x:v>São Carlos - receita</x:v>
      </x:c>
      <x:c r="B17" s="24" t="n">
        <x:f>IF(B16=0,0,'LOJAS'!$D$8/12*INDEX('PREMISSAS'!$B$21:$B$38,B16))</x:f>
        <x:v>0</x:v>
      </x:c>
      <x:c r="C17" s="24" t="n">
        <x:f>IF(C16=0,0,'LOJAS'!$D$8/12*INDEX('PREMISSAS'!$B$21:$B$38,C16))</x:f>
        <x:v>0</x:v>
      </x:c>
      <x:c r="D17" s="24" t="n">
        <x:f>IF(D16=0,0,'LOJAS'!$D$8/12*INDEX('PREMISSAS'!$B$21:$B$38,D16))</x:f>
        <x:v>0</x:v>
      </x:c>
      <x:c r="E17" s="24" t="n">
        <x:f>IF(E16=0,0,'LOJAS'!$D$8/12*INDEX('PREMISSAS'!$B$21:$B$38,E16))</x:f>
        <x:v>0</x:v>
      </x:c>
      <x:c r="F17" s="24" t="n">
        <x:f>IF(F16=0,0,'LOJAS'!$D$8/12*INDEX('PREMISSAS'!$B$21:$B$38,F16))</x:f>
        <x:v>0</x:v>
      </x:c>
      <x:c r="G17" s="24" t="n">
        <x:f>IF(G16=0,0,'LOJAS'!$D$8/12*INDEX('PREMISSAS'!$B$21:$B$38,G16))</x:f>
        <x:v>0</x:v>
      </x:c>
      <x:c r="H17" s="24" t="n">
        <x:f>IF(H16=0,0,'LOJAS'!$D$8/12*INDEX('PREMISSAS'!$B$21:$B$38,H16))</x:f>
        <x:v>0</x:v>
      </x:c>
      <x:c r="I17" s="24" t="n">
        <x:f>IF(I16=0,0,'LOJAS'!$D$8/12*INDEX('PREMISSAS'!$B$21:$B$38,I16))</x:f>
        <x:v>0</x:v>
      </x:c>
      <x:c r="J17" s="24" t="n">
        <x:f>IF(J16=0,0,'LOJAS'!$D$8/12*INDEX('PREMISSAS'!$B$21:$B$38,J16))</x:f>
        <x:v>0</x:v>
      </x:c>
      <x:c r="K17" s="24" t="n">
        <x:f>IF(K16=0,0,'LOJAS'!$D$8/12*INDEX('PREMISSAS'!$B$21:$B$38,K16))</x:f>
        <x:v>0.6875</x:v>
      </x:c>
      <x:c r="L17" s="24" t="n">
        <x:f>IF(L16=0,0,'LOJAS'!$D$8/12*INDEX('PREMISSAS'!$B$21:$B$38,L16))</x:f>
        <x:v>0.9624999999999999</x:v>
      </x:c>
      <x:c r="M17" s="24" t="n">
        <x:f>IF(M16=0,0,'LOJAS'!$D$8/12*INDEX('PREMISSAS'!$B$21:$B$38,M16))</x:f>
        <x:v>1.2375</x:v>
      </x:c>
      <x:c r="N17" s="24" t="n">
        <x:f>IF(N16=0,0,'LOJAS'!$D$8/12*INDEX('PREMISSAS'!$B$21:$B$38,N16))</x:f>
        <x:v>1.5125000000000002</x:v>
      </x:c>
      <x:c r="O17" s="24" t="n">
        <x:f>IF(O16=0,0,'LOJAS'!$D$8/12*INDEX('PREMISSAS'!$B$21:$B$38,O16))</x:f>
        <x:v>1.7875</x:v>
      </x:c>
      <x:c r="P17" s="24" t="n">
        <x:f>IF(P16=0,0,'LOJAS'!$D$8/12*INDEX('PREMISSAS'!$B$21:$B$38,P16))</x:f>
        <x:v>1.98</x:v>
      </x:c>
      <x:c r="Q17" s="24" t="n">
        <x:f>IF(Q16=0,0,'LOJAS'!$D$8/12*INDEX('PREMISSAS'!$B$21:$B$38,Q16))</x:f>
        <x:v>2.145</x:v>
      </x:c>
      <x:c r="R17" s="24" t="n">
        <x:f>IF(R16=0,0,'LOJAS'!$D$8/12*INDEX('PREMISSAS'!$B$21:$B$38,R16))</x:f>
        <x:v>2.2824999999999998</x:v>
      </x:c>
      <x:c r="S17" s="24" t="n">
        <x:f>IF(S16=0,0,'LOJAS'!$D$8/12*INDEX('PREMISSAS'!$B$21:$B$38,S16))</x:f>
        <x:v>2.3925</x:v>
      </x:c>
      <x:c r="T17" s="24" t="n">
        <x:f>IF(T16=0,0,'LOJAS'!$D$8/12*INDEX('PREMISSAS'!$B$21:$B$38,T16))</x:f>
        <x:v>2.475</x:v>
      </x:c>
      <x:c r="U17" s="24" t="n">
        <x:f>IF(U16=0,0,'LOJAS'!$D$8/12*INDEX('PREMISSAS'!$B$21:$B$38,U16))</x:f>
        <x:v>2.5300000000000002</x:v>
      </x:c>
      <x:c r="V17" s="24" t="n">
        <x:f>IF(V16=0,0,'LOJAS'!$D$8/12*INDEX('PREMISSAS'!$B$21:$B$38,V16))</x:f>
        <x:v>2.585</x:v>
      </x:c>
      <x:c r="W17" s="24" t="n">
        <x:f>IF(W16=0,0,'LOJAS'!$D$8/12*INDEX('PREMISSAS'!$B$21:$B$38,W16))</x:f>
        <x:v>2.6399999999999997</x:v>
      </x:c>
      <x:c r="X17" s="24" t="n">
        <x:f>IF(X16=0,0,'LOJAS'!$D$8/12*INDEX('PREMISSAS'!$B$21:$B$38,X16))</x:f>
        <x:v>2.6675</x:v>
      </x:c>
      <x:c r="Y17" s="24" t="n">
        <x:f>IF(Y16=0,0,'LOJAS'!$D$8/12*INDEX('PREMISSAS'!$B$21:$B$38,Y16))</x:f>
        <x:v>2.695</x:v>
      </x:c>
      <x:c r="Z17" s="24" t="n">
        <x:f>IF(Z16=0,0,'LOJAS'!$D$8/12*INDEX('PREMISSAS'!$B$21:$B$38,Z16))</x:f>
        <x:v>2.7225</x:v>
      </x:c>
      <x:c r="AA17" s="24" t="n">
        <x:f>IF(AA16=0,0,'LOJAS'!$D$8/12*INDEX('PREMISSAS'!$B$21:$B$38,AA16))</x:f>
        <x:v>2.75</x:v>
      </x:c>
      <x:c r="AB17" s="24" t="n">
        <x:f>IF(AB16=0,0,'LOJAS'!$D$8/12*INDEX('PREMISSAS'!$B$21:$B$38,AB16))</x:f>
        <x:v>2.75</x:v>
      </x:c>
      <x:c r="AC17" s="24" t="n">
        <x:f>IF(AC16=0,0,'LOJAS'!$D$8/12*INDEX('PREMISSAS'!$B$21:$B$38,AC16))</x:f>
        <x:v>2.75</x:v>
      </x:c>
      <x:c r="AD17" s="24" t="n">
        <x:f>IF(AD16=0,0,'LOJAS'!$D$8/12*INDEX('PREMISSAS'!$B$21:$B$38,AD16))</x:f>
        <x:v>2.75</x:v>
      </x:c>
      <x:c r="AE17" s="24" t="n">
        <x:f>IF(AE16=0,0,'LOJAS'!$D$8/12*INDEX('PREMISSAS'!$B$21:$B$38,AE16))</x:f>
        <x:v>2.75</x:v>
      </x:c>
      <x:c r="AF17" s="24" t="n">
        <x:f>IF(AF16=0,0,'LOJAS'!$D$8/12*INDEX('PREMISSAS'!$B$21:$B$38,AF16))</x:f>
        <x:v>2.75</x:v>
      </x:c>
      <x:c r="AG17" s="24" t="n">
        <x:f>IF(AG16=0,0,'LOJAS'!$D$8/12*INDEX('PREMISSAS'!$B$21:$B$38,AG16))</x:f>
        <x:v>2.75</x:v>
      </x:c>
      <x:c r="AH17" s="24" t="n">
        <x:f>IF(AH16=0,0,'LOJAS'!$D$8/12*INDEX('PREMISSAS'!$B$21:$B$38,AH16))</x:f>
        <x:v>2.75</x:v>
      </x:c>
      <x:c r="AI17" s="24" t="n">
        <x:f>IF(AI16=0,0,'LOJAS'!$D$8/12*INDEX('PREMISSAS'!$B$21:$B$38,AI16))</x:f>
        <x:v>2.75</x:v>
      </x:c>
      <x:c r="AJ17" s="24" t="n">
        <x:f>IF(AJ16=0,0,'LOJAS'!$D$8/12*INDEX('PREMISSAS'!$B$21:$B$38,AJ16))</x:f>
        <x:v>2.75</x:v>
      </x:c>
      <x:c r="AK17" s="24" t="n">
        <x:f>IF(AK16=0,0,'LOJAS'!$D$8/12*INDEX('PREMISSAS'!$B$21:$B$38,AK16))</x:f>
        <x:v>2.75</x:v>
      </x:c>
    </x:row>
    <x:row r="18">
      <x:c r="A18" t="str">
        <x:v>São Carlos - EBITDA</x:v>
      </x:c>
      <x:c r="B18" s="24" t="n">
        <x:f>IF(B17=0,0,B17*'LOJAS'!$E$8*INDEX('PREMISSAS'!$C$21:$C$38,B16))</x:f>
        <x:v>0</x:v>
      </x:c>
      <x:c r="C18" s="24" t="n">
        <x:f>IF(C17=0,0,C17*'LOJAS'!$E$8*INDEX('PREMISSAS'!$C$21:$C$38,C16))</x:f>
        <x:v>0</x:v>
      </x:c>
      <x:c r="D18" s="24" t="n">
        <x:f>IF(D17=0,0,D17*'LOJAS'!$E$8*INDEX('PREMISSAS'!$C$21:$C$38,D16))</x:f>
        <x:v>0</x:v>
      </x:c>
      <x:c r="E18" s="24" t="n">
        <x:f>IF(E17=0,0,E17*'LOJAS'!$E$8*INDEX('PREMISSAS'!$C$21:$C$38,E16))</x:f>
        <x:v>0</x:v>
      </x:c>
      <x:c r="F18" s="24" t="n">
        <x:f>IF(F17=0,0,F17*'LOJAS'!$E$8*INDEX('PREMISSAS'!$C$21:$C$38,F16))</x:f>
        <x:v>0</x:v>
      </x:c>
      <x:c r="G18" s="24" t="n">
        <x:f>IF(G17=0,0,G17*'LOJAS'!$E$8*INDEX('PREMISSAS'!$C$21:$C$38,G16))</x:f>
        <x:v>0</x:v>
      </x:c>
      <x:c r="H18" s="24" t="n">
        <x:f>IF(H17=0,0,H17*'LOJAS'!$E$8*INDEX('PREMISSAS'!$C$21:$C$38,H16))</x:f>
        <x:v>0</x:v>
      </x:c>
      <x:c r="I18" s="24" t="n">
        <x:f>IF(I17=0,0,I17*'LOJAS'!$E$8*INDEX('PREMISSAS'!$C$21:$C$38,I16))</x:f>
        <x:v>0</x:v>
      </x:c>
      <x:c r="J18" s="24" t="n">
        <x:f>IF(J17=0,0,J17*'LOJAS'!$E$8*INDEX('PREMISSAS'!$C$21:$C$38,J16))</x:f>
        <x:v>0</x:v>
      </x:c>
      <x:c r="K18" s="24" t="n">
        <x:f>IF(K17=0,0,K17*'LOJAS'!$E$8*INDEX('PREMISSAS'!$C$21:$C$38,K16))</x:f>
        <x:v>-0.054828125000000005</x:v>
      </x:c>
      <x:c r="L18" s="24" t="n">
        <x:f>IF(L17=0,0,L17*'LOJAS'!$E$8*INDEX('PREMISSAS'!$C$21:$C$38,L16))</x:f>
        <x:v>-0.039077499999999994</x:v>
      </x:c>
      <x:c r="M18" s="24" t="n">
        <x:f>IF(M17=0,0,M17*'LOJAS'!$E$8*INDEX('PREMISSAS'!$C$21:$C$38,M16))</x:f>
        <x:v>0</x:v>
      </x:c>
      <x:c r="N18" s="24" t="n">
        <x:f>IF(N17=0,0,N17*'LOJAS'!$E$8*INDEX('PREMISSAS'!$C$21:$C$38,N16))</x:f>
        <x:v>0.06140750000000001</x:v>
      </x:c>
      <x:c r="O18" s="24" t="n">
        <x:f>IF(O17=0,0,O17*'LOJAS'!$E$8*INDEX('PREMISSAS'!$C$21:$C$38,O16))</x:f>
        <x:v>0.12959375</x:v>
      </x:c>
      <x:c r="P18" s="24" t="n">
        <x:f>IF(P17=0,0,P17*'LOJAS'!$E$8*INDEX('PREMISSAS'!$C$21:$C$38,P16))</x:f>
        <x:v>0.18661499999999998</x:v>
      </x:c>
      <x:c r="Q18" s="24" t="n">
        <x:f>IF(Q17=0,0,Q17*'LOJAS'!$E$8*INDEX('PREMISSAS'!$C$21:$C$38,Q16))</x:f>
        <x:v>0.2425995</x:v>
      </x:c>
      <x:c r="R18" s="24" t="n">
        <x:f>IF(R17=0,0,R17*'LOJAS'!$E$8*INDEX('PREMISSAS'!$C$21:$C$38,R16))</x:f>
        <x:v>0.28462774999999996</x:v>
      </x:c>
      <x:c r="S18" s="24" t="n">
        <x:f>IF(S17=0,0,S17*'LOJAS'!$E$8*INDEX('PREMISSAS'!$C$21:$C$38,S16))</x:f>
        <x:v>0.31222125</x:v>
      </x:c>
      <x:c r="T18" s="24" t="n">
        <x:f>IF(T17=0,0,T17*'LOJAS'!$E$8*INDEX('PREMISSAS'!$C$21:$C$38,T16))</x:f>
        <x:v>0.3373425</x:v>
      </x:c>
      <x:c r="U18" s="24" t="n">
        <x:f>IF(U17=0,0,U17*'LOJAS'!$E$8*INDEX('PREMISSAS'!$C$21:$C$38,U16))</x:f>
        <x:v>0.352176</x:v>
      </x:c>
      <x:c r="V18" s="24" t="n">
        <x:f>IF(V17=0,0,V17*'LOJAS'!$E$8*INDEX('PREMISSAS'!$C$21:$C$38,V16))</x:f>
        <x:v>0.36732849999999995</x:v>
      </x:c>
      <x:c r="W18" s="24" t="n">
        <x:f>IF(W17=0,0,W17*'LOJAS'!$E$8*INDEX('PREMISSAS'!$C$21:$C$38,W16))</x:f>
        <x:v>0.3827999999999999</x:v>
      </x:c>
      <x:c r="X18" s="24" t="n">
        <x:f>IF(X17=0,0,X17*'LOJAS'!$E$8*INDEX('PREMISSAS'!$C$21:$C$38,X16))</x:f>
        <x:v>0.38678749999999995</x:v>
      </x:c>
      <x:c r="Y18" s="24" t="n">
        <x:f>IF(Y17=0,0,Y17*'LOJAS'!$E$8*INDEX('PREMISSAS'!$C$21:$C$38,Y16))</x:f>
        <x:v>0.39077499999999993</x:v>
      </x:c>
      <x:c r="Z18" s="24" t="n">
        <x:f>IF(Z17=0,0,Z17*'LOJAS'!$E$8*INDEX('PREMISSAS'!$C$21:$C$38,Z16))</x:f>
        <x:v>0.3947625</x:v>
      </x:c>
      <x:c r="AA18" s="24" t="n">
        <x:f>IF(AA17=0,0,AA17*'LOJAS'!$E$8*INDEX('PREMISSAS'!$C$21:$C$38,AA16))</x:f>
        <x:v>0.39875</x:v>
      </x:c>
      <x:c r="AB18" s="24" t="n">
        <x:f>IF(AB17=0,0,AB17*'LOJAS'!$E$8*INDEX('PREMISSAS'!$C$21:$C$38,AB16))</x:f>
        <x:v>0.39875</x:v>
      </x:c>
      <x:c r="AC18" s="24" t="n">
        <x:f>IF(AC17=0,0,AC17*'LOJAS'!$E$8*INDEX('PREMISSAS'!$C$21:$C$38,AC16))</x:f>
        <x:v>0.39875</x:v>
      </x:c>
      <x:c r="AD18" s="24" t="n">
        <x:f>IF(AD17=0,0,AD17*'LOJAS'!$E$8*INDEX('PREMISSAS'!$C$21:$C$38,AD16))</x:f>
        <x:v>0.39875</x:v>
      </x:c>
      <x:c r="AE18" s="24" t="n">
        <x:f>IF(AE17=0,0,AE17*'LOJAS'!$E$8*INDEX('PREMISSAS'!$C$21:$C$38,AE16))</x:f>
        <x:v>0.39875</x:v>
      </x:c>
      <x:c r="AF18" s="24" t="n">
        <x:f>IF(AF17=0,0,AF17*'LOJAS'!$E$8*INDEX('PREMISSAS'!$C$21:$C$38,AF16))</x:f>
        <x:v>0.39875</x:v>
      </x:c>
      <x:c r="AG18" s="24" t="n">
        <x:f>IF(AG17=0,0,AG17*'LOJAS'!$E$8*INDEX('PREMISSAS'!$C$21:$C$38,AG16))</x:f>
        <x:v>0.39875</x:v>
      </x:c>
      <x:c r="AH18" s="24" t="n">
        <x:f>IF(AH17=0,0,AH17*'LOJAS'!$E$8*INDEX('PREMISSAS'!$C$21:$C$38,AH16))</x:f>
        <x:v>0.39875</x:v>
      </x:c>
      <x:c r="AI18" s="24" t="n">
        <x:f>IF(AI17=0,0,AI17*'LOJAS'!$E$8*INDEX('PREMISSAS'!$C$21:$C$38,AI16))</x:f>
        <x:v>0.39875</x:v>
      </x:c>
      <x:c r="AJ18" s="24" t="n">
        <x:f>IF(AJ17=0,0,AJ17*'LOJAS'!$E$8*INDEX('PREMISSAS'!$C$21:$C$38,AJ16))</x:f>
        <x:v>0.39875</x:v>
      </x:c>
      <x:c r="AK18" s="24" t="n">
        <x:f>IF(AK17=0,0,AK17*'LOJAS'!$E$8*INDEX('PREMISSAS'!$C$21:$C$38,AK16))</x:f>
        <x:v>0.39875</x:v>
      </x:c>
    </x:row>
    <x:row r="19">
      <x:c r="A19" t="str">
        <x:v>São Carlos - margem EBITDA</x:v>
      </x:c>
      <x:c r="B19" s="22" t="n">
        <x:f>IF(B17=0,0,B18/B17)</x:f>
        <x:v>0</x:v>
      </x:c>
      <x:c r="C19" s="22" t="n">
        <x:f>IF(C17=0,0,C18/C17)</x:f>
        <x:v>0</x:v>
      </x:c>
      <x:c r="D19" s="22" t="n">
        <x:f>IF(D17=0,0,D18/D17)</x:f>
        <x:v>0</x:v>
      </x:c>
      <x:c r="E19" s="22" t="n">
        <x:f>IF(E17=0,0,E18/E17)</x:f>
        <x:v>0</x:v>
      </x:c>
      <x:c r="F19" s="22" t="n">
        <x:f>IF(F17=0,0,F18/F17)</x:f>
        <x:v>0</x:v>
      </x:c>
      <x:c r="G19" s="22" t="n">
        <x:f>IF(G17=0,0,G18/G17)</x:f>
        <x:v>0</x:v>
      </x:c>
      <x:c r="H19" s="22" t="n">
        <x:f>IF(H17=0,0,H18/H17)</x:f>
        <x:v>0</x:v>
      </x:c>
      <x:c r="I19" s="22" t="n">
        <x:f>IF(I17=0,0,I18/I17)</x:f>
        <x:v>0</x:v>
      </x:c>
      <x:c r="J19" s="22" t="n">
        <x:f>IF(J17=0,0,J18/J17)</x:f>
        <x:v>0</x:v>
      </x:c>
      <x:c r="K19" s="22" t="n">
        <x:f>IF(K17=0,0,K18/K17)</x:f>
        <x:v>-0.07975</x:v>
      </x:c>
      <x:c r="L19" s="22" t="n">
        <x:f>IF(L17=0,0,L18/L17)</x:f>
        <x:v>-0.0406</x:v>
      </x:c>
      <x:c r="M19" s="22" t="n">
        <x:f>IF(M17=0,0,M18/M17)</x:f>
        <x:v>0</x:v>
      </x:c>
      <x:c r="N19" s="22" t="n">
        <x:f>IF(N17=0,0,N18/N17)</x:f>
        <x:v>0.040600000000000004</x:v>
      </x:c>
      <x:c r="O19" s="22" t="n">
        <x:f>IF(O17=0,0,O18/O17)</x:f>
        <x:v>0.0725</x:v>
      </x:c>
      <x:c r="P19" s="22" t="n">
        <x:f>IF(P17=0,0,P18/P17)</x:f>
        <x:v>0.09424999999999999</x:v>
      </x:c>
      <x:c r="Q19" s="22" t="n">
        <x:f>IF(Q17=0,0,Q18/Q17)</x:f>
        <x:v>0.11309999999999999</x:v>
      </x:c>
      <x:c r="R19" s="22" t="n">
        <x:f>IF(R17=0,0,R18/R17)</x:f>
        <x:v>0.12469999999999999</x:v>
      </x:c>
      <x:c r="S19" s="22" t="n">
        <x:f>IF(S17=0,0,S18/S17)</x:f>
        <x:v>0.1305</x:v>
      </x:c>
      <x:c r="T19" s="22" t="n">
        <x:f>IF(T17=0,0,T18/T17)</x:f>
        <x:v>0.1363</x:v>
      </x:c>
      <x:c r="U19" s="22" t="n">
        <x:f>IF(U17=0,0,U18/U17)</x:f>
        <x:v>0.1392</x:v>
      </x:c>
      <x:c r="V19" s="22" t="n">
        <x:f>IF(V17=0,0,V18/V17)</x:f>
        <x:v>0.14209999999999998</x:v>
      </x:c>
      <x:c r="W19" s="22" t="n">
        <x:f>IF(W17=0,0,W18/W17)</x:f>
        <x:v>0.145</x:v>
      </x:c>
      <x:c r="X19" s="22" t="n">
        <x:f>IF(X17=0,0,X18/X17)</x:f>
        <x:v>0.145</x:v>
      </x:c>
      <x:c r="Y19" s="22" t="n">
        <x:f>IF(Y17=0,0,Y18/Y17)</x:f>
        <x:v>0.145</x:v>
      </x:c>
      <x:c r="Z19" s="22" t="n">
        <x:f>IF(Z17=0,0,Z18/Z17)</x:f>
        <x:v>0.145</x:v>
      </x:c>
      <x:c r="AA19" s="22" t="n">
        <x:f>IF(AA17=0,0,AA18/AA17)</x:f>
        <x:v>0.145</x:v>
      </x:c>
      <x:c r="AB19" s="22" t="n">
        <x:f>IF(AB17=0,0,AB18/AB17)</x:f>
        <x:v>0.145</x:v>
      </x:c>
      <x:c r="AC19" s="22" t="n">
        <x:f>IF(AC17=0,0,AC18/AC17)</x:f>
        <x:v>0.145</x:v>
      </x:c>
      <x:c r="AD19" s="22" t="n">
        <x:f>IF(AD17=0,0,AD18/AD17)</x:f>
        <x:v>0.145</x:v>
      </x:c>
      <x:c r="AE19" s="22" t="n">
        <x:f>IF(AE17=0,0,AE18/AE17)</x:f>
        <x:v>0.145</x:v>
      </x:c>
      <x:c r="AF19" s="22" t="n">
        <x:f>IF(AF17=0,0,AF18/AF17)</x:f>
        <x:v>0.145</x:v>
      </x:c>
      <x:c r="AG19" s="22" t="n">
        <x:f>IF(AG17=0,0,AG18/AG17)</x:f>
        <x:v>0.145</x:v>
      </x:c>
      <x:c r="AH19" s="22" t="n">
        <x:f>IF(AH17=0,0,AH18/AH17)</x:f>
        <x:v>0.145</x:v>
      </x:c>
      <x:c r="AI19" s="22" t="n">
        <x:f>IF(AI17=0,0,AI18/AI17)</x:f>
        <x:v>0.145</x:v>
      </x:c>
      <x:c r="AJ19" s="22" t="n">
        <x:f>IF(AJ17=0,0,AJ18/AJ17)</x:f>
        <x:v>0.145</x:v>
      </x:c>
      <x:c r="AK19" s="22" t="n">
        <x:f>IF(AK17=0,0,AK18/AK17)</x:f>
        <x:v>0.145</x:v>
      </x:c>
    </x:row>
    <x:row r="21">
      <x:c r="A21" s="44" t="str">
        <x:v>PROJETO - receita total</x:v>
      </x:c>
      <x:c r="B21" s="45" t="n">
        <x:f>SUM(B7,B12,B17)</x:f>
        <x:v>0</x:v>
      </x:c>
      <x:c r="C21" s="45" t="n">
        <x:f>SUM(C7,C12,C17)</x:f>
        <x:v>0</x:v>
      </x:c>
      <x:c r="D21" s="45" t="n">
        <x:f>SUM(D7,D12,D17)</x:f>
        <x:v>0</x:v>
      </x:c>
      <x:c r="E21" s="45" t="n">
        <x:f>SUM(E7,E12,E17)</x:f>
        <x:v>0.6666666666666666</x:v>
      </x:c>
      <x:c r="F21" s="45" t="n">
        <x:f>SUM(F7,F12,F17)</x:f>
        <x:v>0.9333333333333332</x:v>
      </x:c>
      <x:c r="G21" s="45" t="n">
        <x:f>SUM(G7,G12,G17)</x:f>
        <x:v>1.2</x:v>
      </x:c>
      <x:c r="H21" s="45" t="n">
        <x:f>SUM(H7,H12,H17)</x:f>
        <x:v>2.0708333333333333</x:v>
      </x:c>
      <x:c r="I21" s="45" t="n">
        <x:f>SUM(I7,I12,I17)</x:f>
        <x:v>2.5791666666666666</x:v>
      </x:c>
      <x:c r="J21" s="45" t="n">
        <x:f>SUM(J7,J12,J17)</x:f>
        <x:v>3.0075</x:v>
      </x:c>
      <x:c r="K21" s="45" t="n">
        <x:f>SUM(K7,K12,K17)</x:f>
        <x:v>4.096666666666667</x:v>
      </x:c>
      <x:c r="L21" s="45" t="n">
        <x:f>SUM(L7,L12,L17)</x:f>
        <x:v>4.746666666666666</x:v>
      </x:c>
      <x:c r="M21" s="45" t="n">
        <x:f>SUM(M7,M12,M17)</x:f>
        <x:v>5.297499999999999</x:v>
      </x:c>
      <x:c r="N21" s="45" t="n">
        <x:f>SUM(N7,N12,N17)</x:f>
        <x:v>5.7975</x:v>
      </x:c>
      <x:c r="O21" s="45" t="n">
        <x:f>SUM(O7,O12,O17)</x:f>
        <x:v>6.246666666666666</x:v>
      </x:c>
      <x:c r="P21" s="45" t="n">
        <x:f>SUM(P7,P12,P17)</x:f>
        <x:v>6.589166666666667</x:v>
      </x:c>
      <x:c r="Q21" s="45" t="n">
        <x:f>SUM(Q7,Q12,Q17)</x:f>
        <x:v>6.879999999999999</x:v>
      </x:c>
      <x:c r="R21" s="45" t="n">
        <x:f>SUM(R7,R12,R17)</x:f>
        <x:v>7.092499999999999</x:v>
      </x:c>
      <x:c r="S21" s="45" t="n">
        <x:f>SUM(S7,S12,S17)</x:f>
        <x:v>7.2775</x:v>
      </x:c>
      <x:c r="T21" s="45" t="n">
        <x:f>SUM(T7,T12,T17)</x:f>
        <x:v>7.434999999999999</x:v>
      </x:c>
      <x:c r="U21" s="45" t="n">
        <x:f>SUM(U7,U12,U17)</x:f>
        <x:v>7.540833333333333</x:v>
      </x:c>
      <x:c r="V21" s="45" t="n">
        <x:f>SUM(V7,V12,V17)</x:f>
        <x:v>7.62</x:v>
      </x:c>
      <x:c r="W21" s="45" t="n">
        <x:f>SUM(W7,W12,W17)</x:f>
        <x:v>7.699166666666666</x:v>
      </x:c>
      <x:c r="X21" s="45" t="n">
        <x:f>SUM(X7,X12,X17)</x:f>
        <x:v>7.750833333333333</x:v>
      </x:c>
      <x:c r="Y21" s="45" t="n">
        <x:f>SUM(Y7,Y12,Y17)</x:f>
        <x:v>7.778333333333332</x:v>
      </x:c>
      <x:c r="Z21" s="45" t="n">
        <x:f>SUM(Z7,Z12,Z17)</x:f>
        <x:v>7.805833333333333</x:v>
      </x:c>
      <x:c r="AA21" s="45" t="n">
        <x:f>SUM(AA7,AA12,AA17)</x:f>
        <x:v>7.833333333333333</x:v>
      </x:c>
      <x:c r="AB21" s="45" t="n">
        <x:f>SUM(AB7,AB12,AB17)</x:f>
        <x:v>7.833333333333333</x:v>
      </x:c>
      <x:c r="AC21" s="45" t="n">
        <x:f>SUM(AC7,AC12,AC17)</x:f>
        <x:v>7.833333333333333</x:v>
      </x:c>
      <x:c r="AD21" s="45" t="n">
        <x:f>SUM(AD7,AD12,AD17)</x:f>
        <x:v>7.833333333333333</x:v>
      </x:c>
      <x:c r="AE21" s="45" t="n">
        <x:f>SUM(AE7,AE12,AE17)</x:f>
        <x:v>7.833333333333333</x:v>
      </x:c>
      <x:c r="AF21" s="45" t="n">
        <x:f>SUM(AF7,AF12,AF17)</x:f>
        <x:v>7.833333333333333</x:v>
      </x:c>
      <x:c r="AG21" s="45" t="n">
        <x:f>SUM(AG7,AG12,AG17)</x:f>
        <x:v>7.833333333333333</x:v>
      </x:c>
      <x:c r="AH21" s="45" t="n">
        <x:f>SUM(AH7,AH12,AH17)</x:f>
        <x:v>7.833333333333333</x:v>
      </x:c>
      <x:c r="AI21" s="45" t="n">
        <x:f>SUM(AI7,AI12,AI17)</x:f>
        <x:v>7.833333333333333</x:v>
      </x:c>
      <x:c r="AJ21" s="45" t="n">
        <x:f>SUM(AJ7,AJ12,AJ17)</x:f>
        <x:v>7.833333333333333</x:v>
      </x:c>
      <x:c r="AK21" s="45" t="n">
        <x:f>SUM(AK7,AK12,AK17)</x:f>
        <x:v>7.833333333333333</x:v>
      </x:c>
    </x:row>
    <x:row r="22">
      <x:c r="A22" s="41" t="str">
        <x:v>PROJETO - EBITDA total</x:v>
      </x:c>
      <x:c r="B22" s="42" t="n">
        <x:f>SUM(B8,B13,B18)</x:f>
        <x:v>0</x:v>
      </x:c>
      <x:c r="C22" s="42" t="n">
        <x:f>SUM(C8,C13,C18)</x:f>
        <x:v>0</x:v>
      </x:c>
      <x:c r="D22" s="42" t="n">
        <x:f>SUM(D8,D13,D18)</x:f>
        <x:v>0</x:v>
      </x:c>
      <x:c r="E22" s="42" t="n">
        <x:f>SUM(E8,E13,E18)</x:f>
        <x:v>-0.052066666666666664</x:v>
      </x:c>
      <x:c r="F22" s="42" t="n">
        <x:f>SUM(F8,F13,F18)</x:f>
        <x:v>-0.03710933333333333</x:v>
      </x:c>
      <x:c r="G22" s="42" t="n">
        <x:f>SUM(G8,G13,G18)</x:f>
        <x:v>0</x:v>
      </x:c>
      <x:c r="H22" s="42" t="n">
        <x:f>SUM(H8,H13,H18)</x:f>
        <x:v>0.01245841666666666</x:v>
      </x:c>
      <x:c r="I22" s="42" t="n">
        <x:f>SUM(I8,I13,I18)</x:f>
        <x:v>0.09038366666666665</x:v>
      </x:c>
      <x:c r="J22" s="42" t="n">
        <x:f>SUM(J8,J13,J18)</x:f>
        <x:v>0.17721599999999996</x:v>
      </x:c>
      <x:c r="K22" s="42" t="n">
        <x:f>SUM(K8,K13,K18)</x:f>
        <x:v>0.22691167500000003</x:v>
      </x:c>
      <x:c r="L22" s="42" t="n">
        <x:f>SUM(L8,L13,L18)</x:f>
        <x:v>0.33960226666666665</x:v>
      </x:c>
      <x:c r="M22" s="42" t="n">
        <x:f>SUM(M8,M13,M18)</x:f>
        <x:v>0.452574</x:v>
      </x:c>
      <x:c r="N22" s="42" t="n">
        <x:f>SUM(N8,N13,N18)</x:f>
        <x:v>0.5846609</x:v>
      </x:c>
      <x:c r="O22" s="42" t="n">
        <x:f>SUM(O8,O13,O18)</x:f>
        <x:v>0.7020844499999999</x:v>
      </x:c>
      <x:c r="P22" s="42" t="n">
        <x:f>SUM(P8,P13,P18)</x:f>
        <x:v>0.7965732333333333</x:v>
      </x:c>
      <x:c r="Q22" s="42" t="n">
        <x:f>SUM(Q8,Q13,Q18)</x:f>
        <x:v>0.8882604999999999</x:v>
      </x:c>
      <x:c r="R22" s="42" t="n">
        <x:f>SUM(R8,R13,R18)</x:f>
        <x:v>0.9464816166666665</x:v>
      </x:c>
      <x:c r="S22" s="42" t="n">
        <x:f>SUM(S8,S13,S18)</x:f>
        <x:v>0.9905347833333332</x:v>
      </x:c>
      <x:c r="T22" s="42" t="n">
        <x:f>SUM(T8,T13,T18)</x:f>
        <x:v>1.0323824999999998</x:v>
      </x:c>
      <x:c r="U22" s="42" t="n">
        <x:f>SUM(U8,U13,U18)</x:f>
        <x:v>1.0543376666666666</x:v>
      </x:c>
      <x:c r="V22" s="42" t="n">
        <x:f>SUM(V8,V13,V18)</x:f>
        <x:v>1.0728251666666666</x:v>
      </x:c>
      <x:c r="W22" s="42" t="n">
        <x:f>SUM(W8,W13,W18)</x:f>
        <x:v>1.0916316666666663</x:v>
      </x:c>
      <x:c r="X22" s="42" t="n">
        <x:f>SUM(X8,X13,X18)</x:f>
        <x:v>1.0989541666666667</x:v>
      </x:c>
      <x:c r="Y22" s="42" t="n">
        <x:f>SUM(Y8,Y13,Y18)</x:f>
        <x:v>1.1029416666666665</x:v>
      </x:c>
      <x:c r="Z22" s="42" t="n">
        <x:f>SUM(Z8,Z13,Z18)</x:f>
        <x:v>1.1069291666666667</x:v>
      </x:c>
      <x:c r="AA22" s="42" t="n">
        <x:f>SUM(AA8,AA13,AA18)</x:f>
        <x:v>1.1109166666666666</x:v>
      </x:c>
      <x:c r="AB22" s="42" t="n">
        <x:f>SUM(AB8,AB13,AB18)</x:f>
        <x:v>1.1109166666666666</x:v>
      </x:c>
      <x:c r="AC22" s="42" t="n">
        <x:f>SUM(AC8,AC13,AC18)</x:f>
        <x:v>1.1109166666666666</x:v>
      </x:c>
      <x:c r="AD22" s="42" t="n">
        <x:f>SUM(AD8,AD13,AD18)</x:f>
        <x:v>1.1109166666666666</x:v>
      </x:c>
      <x:c r="AE22" s="42" t="n">
        <x:f>SUM(AE8,AE13,AE18)</x:f>
        <x:v>1.1109166666666666</x:v>
      </x:c>
      <x:c r="AF22" s="42" t="n">
        <x:f>SUM(AF8,AF13,AF18)</x:f>
        <x:v>1.1109166666666666</x:v>
      </x:c>
      <x:c r="AG22" s="42" t="n">
        <x:f>SUM(AG8,AG13,AG18)</x:f>
        <x:v>1.1109166666666666</x:v>
      </x:c>
      <x:c r="AH22" s="42" t="n">
        <x:f>SUM(AH8,AH13,AH18)</x:f>
        <x:v>1.1109166666666666</x:v>
      </x:c>
      <x:c r="AI22" s="42" t="n">
        <x:f>SUM(AI8,AI13,AI18)</x:f>
        <x:v>1.1109166666666666</x:v>
      </x:c>
      <x:c r="AJ22" s="42" t="n">
        <x:f>SUM(AJ8,AJ13,AJ18)</x:f>
        <x:v>1.1109166666666666</x:v>
      </x:c>
      <x:c r="AK22" s="42" t="n">
        <x:f>SUM(AK8,AK13,AK18)</x:f>
        <x:v>1.1109166666666666</x:v>
      </x:c>
    </x:row>
    <x:row r="23">
      <x:c r="A23" s="41" t="str">
        <x:v>PROJETO - margem EBITDA</x:v>
      </x:c>
      <x:c r="B23" s="43" t="n">
        <x:f>IF(B21=0,0,B22/B21)</x:f>
        <x:v>0</x:v>
      </x:c>
      <x:c r="C23" s="43" t="n">
        <x:f>IF(C21=0,0,C22/C21)</x:f>
        <x:v>0</x:v>
      </x:c>
      <x:c r="D23" s="43" t="n">
        <x:f>IF(D21=0,0,D22/D21)</x:f>
        <x:v>0</x:v>
      </x:c>
      <x:c r="E23" s="43" t="n">
        <x:f>IF(E21=0,0,E22/E21)</x:f>
        <x:v>-0.0781</x:v>
      </x:c>
      <x:c r="F23" s="43" t="n">
        <x:f>IF(F21=0,0,F22/F21)</x:f>
        <x:v>-0.03976</x:v>
      </x:c>
      <x:c r="G23" s="43" t="n">
        <x:f>IF(G21=0,0,G22/G21)</x:f>
        <x:v>0</x:v>
      </x:c>
      <x:c r="H23" s="43" t="n">
        <x:f>IF(H21=0,0,H22/H21)</x:f>
        <x:v>0.00601613682092555</x:v>
      </x:c>
      <x:c r="I23" s="43" t="n">
        <x:f>IF(I21=0,0,I22/I21)</x:f>
        <x:v>0.03504374798061389</x:v>
      </x:c>
      <x:c r="J23" s="43" t="n">
        <x:f>IF(J21=0,0,J22/J21)</x:f>
        <x:v>0.05892468827930174</x:v>
      </x:c>
      <x:c r="K23" s="43" t="n">
        <x:f>IF(K21=0,0,K22/K21)</x:f>
        <x:v>0.055389342961757536</x:v>
      </x:c>
      <x:c r="L23" s="43" t="n">
        <x:f>IF(L21=0,0,L22/L21)</x:f>
        <x:v>0.07154542134831461</x:v>
      </x:c>
      <x:c r="M23" s="43" t="n">
        <x:f>IF(M21=0,0,M22/M21)</x:f>
        <x:v>0.08543161868806042</x:v>
      </x:c>
      <x:c r="N23" s="43" t="n">
        <x:f>IF(N21=0,0,N22/N21)</x:f>
        <x:v>0.10084707201379906</x:v>
      </x:c>
      <x:c r="O23" s="43" t="n">
        <x:f>IF(O21=0,0,O22/O21)</x:f>
        <x:v>0.1123934551760939</x:v>
      </x:c>
      <x:c r="P23" s="43" t="n">
        <x:f>IF(P21=0,0,P22/P21)</x:f>
        <x:v>0.12089134690780319</x:v>
      </x:c>
      <x:c r="Q23" s="43" t="n">
        <x:f>IF(Q21=0,0,Q22/Q21)</x:f>
        <x:v>0.1291076308139535</x:v>
      </x:c>
      <x:c r="R23" s="43" t="n">
        <x:f>IF(R21=0,0,R22/R21)</x:f>
        <x:v>0.13344823639995299</x:v>
      </x:c>
      <x:c r="S23" s="43" t="n">
        <x:f>IF(S21=0,0,S22/S21)</x:f>
        <x:v>0.13610921103858925</x:v>
      </x:c>
      <x:c r="T23" s="43" t="n">
        <x:f>IF(T21=0,0,T22/T21)</x:f>
        <x:v>0.13885440484196368</x:v>
      </x:c>
      <x:c r="U23" s="43" t="n">
        <x:f>IF(U21=0,0,U22/U21)</x:f>
        <x:v>0.13981712896452647</x:v>
      </x:c>
      <x:c r="V23" s="43" t="n">
        <x:f>IF(V21=0,0,V22/V21)</x:f>
        <x:v>0.1407907042869641</x:v>
      </x:c>
      <x:c r="W23" s="43" t="n">
        <x:f>IF(W21=0,0,W22/W21)</x:f>
        <x:v>0.1417856910921095</x:v>
      </x:c>
      <x:c r="X23" s="43" t="n">
        <x:f>IF(X21=0,0,X22/X21)</x:f>
        <x:v>0.14178529190409636</x:v>
      </x:c>
      <x:c r="Y23" s="43" t="n">
        <x:f>IF(Y21=0,0,Y22/Y21)</x:f>
        <x:v>0.1417966573816156</x:v>
      </x:c>
      <x:c r="Z23" s="43" t="n">
        <x:f>IF(Z21=0,0,Z22/Z21)</x:f>
        <x:v>0.1418079427778371</x:v>
      </x:c>
      <x:c r="AA23" s="43" t="n">
        <x:f>IF(AA21=0,0,AA22/AA21)</x:f>
        <x:v>0.1418191489361702</x:v>
      </x:c>
      <x:c r="AB23" s="43" t="n">
        <x:f>IF(AB21=0,0,AB22/AB21)</x:f>
        <x:v>0.1418191489361702</x:v>
      </x:c>
      <x:c r="AC23" s="43" t="n">
        <x:f>IF(AC21=0,0,AC22/AC21)</x:f>
        <x:v>0.1418191489361702</x:v>
      </x:c>
      <x:c r="AD23" s="43" t="n">
        <x:f>IF(AD21=0,0,AD22/AD21)</x:f>
        <x:v>0.1418191489361702</x:v>
      </x:c>
      <x:c r="AE23" s="43" t="n">
        <x:f>IF(AE21=0,0,AE22/AE21)</x:f>
        <x:v>0.1418191489361702</x:v>
      </x:c>
      <x:c r="AF23" s="43" t="n">
        <x:f>IF(AF21=0,0,AF22/AF21)</x:f>
        <x:v>0.1418191489361702</x:v>
      </x:c>
      <x:c r="AG23" s="43" t="n">
        <x:f>IF(AG21=0,0,AG22/AG21)</x:f>
        <x:v>0.1418191489361702</x:v>
      </x:c>
      <x:c r="AH23" s="43" t="n">
        <x:f>IF(AH21=0,0,AH22/AH21)</x:f>
        <x:v>0.1418191489361702</x:v>
      </x:c>
      <x:c r="AI23" s="43" t="n">
        <x:f>IF(AI21=0,0,AI22/AI21)</x:f>
        <x:v>0.1418191489361702</x:v>
      </x:c>
      <x:c r="AJ23" s="43" t="n">
        <x:f>IF(AJ21=0,0,AJ22/AJ21)</x:f>
        <x:v>0.1418191489361702</x:v>
      </x:c>
      <x:c r="AK23" s="43" t="n">
        <x:f>IF(AK21=0,0,AK22/AK21)</x:f>
        <x:v>0.1418191489361702</x:v>
      </x:c>
    </x:row>
  </x:sheetData>
  <x:mergeCells>
    <x:mergeCell ref="A1:AK1"/>
    <x:mergeCell ref="A2:A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3" t="str">
        <x:v>RESUMO ANUAL CONSOLIDADO</x:v>
      </x:c>
      <x:c r="B1" s="3" t="str">
        <x:v>RESUMO ANUAL CONSOLIDADO</x:v>
      </x:c>
      <x:c r="C1" s="3" t="str">
        <x:v>RESUMO ANUAL CONSOLIDADO</x:v>
      </x:c>
      <x:c r="D1" s="3" t="str">
        <x:v>RESUMO ANUAL CONSOLIDADO</x:v>
      </x:c>
      <x:c r="E1" s="3" t="str">
        <x:v>RESUMO ANUAL CONSOLIDADO</x:v>
      </x:c>
      <x:c r="F1" s="3" t="str">
        <x:v>RESUMO ANUAL CONSOLIDADO</x:v>
      </x:c>
      <x:c r="G1" s="3" t="str">
        <x:v>RESUMO ANUAL CONSOLIDADO</x:v>
      </x:c>
    </x:row>
    <x:row r="2" ht="28" customHeight="1">
      <x:c r="A2" s="7" t="str">
        <x:v>Operação atual + três novas lojas - R$ milhões</x:v>
      </x:c>
      <x:c r="B2" s="7" t="str">
        <x:v>Operação atual + três novas lojas - R$ milhões</x:v>
      </x:c>
      <x:c r="C2" s="7" t="str">
        <x:v>Operação atual + três novas lojas - R$ milhões</x:v>
      </x:c>
      <x:c r="D2" s="7" t="str">
        <x:v>Operação atual + três novas lojas - R$ milhões</x:v>
      </x:c>
      <x:c r="E2" s="7" t="str">
        <x:v>Operação atual + três novas lojas - R$ milhões</x:v>
      </x:c>
      <x:c r="F2" s="7" t="str">
        <x:v>Operação atual + três novas lojas - R$ milhões</x:v>
      </x:c>
      <x:c r="G2" s="7" t="str">
        <x:v>Operação atual + três novas lojas - R$ milhões</x:v>
      </x:c>
    </x:row>
    <x:row r="5">
      <x:c r="A5" s="33" t="str">
        <x:v>R$ milhões</x:v>
      </x:c>
      <x:c r="B5" s="54" t="n">
        <x:v>46022</x:v>
      </x:c>
      <x:c r="C5" s="55" t="n">
        <x:v>46387</x:v>
      </x:c>
      <x:c r="D5" s="55" t="n">
        <x:v>46752</x:v>
      </x:c>
      <x:c r="E5" s="55" t="n">
        <x:v>47118</x:v>
      </x:c>
      <x:c r="F5" s="55" t="n">
        <x:v>47483</x:v>
      </x:c>
      <x:c r="G5" s="55" t="n">
        <x:v>47848</x:v>
      </x:c>
    </x:row>
    <x:row r="6">
      <x:c r="A6" s="18" t="str">
        <x:v>OPERAÇÃO ATUAL</x:v>
      </x:c>
      <x:c r="B6" s="18" t="str">
        <x:v>OPERAÇÃO ATUAL</x:v>
      </x:c>
      <x:c r="C6" s="18" t="str">
        <x:v>OPERAÇÃO ATUAL</x:v>
      </x:c>
      <x:c r="D6" s="18" t="str">
        <x:v>OPERAÇÃO ATUAL</x:v>
      </x:c>
      <x:c r="E6" s="18" t="str">
        <x:v>OPERAÇÃO ATUAL</x:v>
      </x:c>
      <x:c r="F6" s="18" t="str">
        <x:v>OPERAÇÃO ATUAL</x:v>
      </x:c>
      <x:c r="G6" s="18" t="str">
        <x:v>OPERAÇÃO ATUAL</x:v>
      </x:c>
    </x:row>
    <x:row r="7">
      <x:c r="A7" t="str">
        <x:v>Receita líquida - base</x:v>
      </x:c>
      <x:c r="B7" s="19" t="n">
        <x:v>184.7</x:v>
      </x:c>
      <x:c r="C7" s="19" t="n">
        <x:v>203</x:v>
      </x:c>
      <x:c r="D7" s="19" t="n">
        <x:v>218</x:v>
      </x:c>
      <x:c r="E7" s="19" t="n">
        <x:v>233.2</x:v>
      </x:c>
      <x:c r="F7" s="19" t="n">
        <x:v>249.5</x:v>
      </x:c>
      <x:c r="G7" s="19" t="n">
        <x:v>265.7</x:v>
      </x:c>
    </x:row>
    <x:row r="8">
      <x:c r="A8" t="str">
        <x:v>EBITDA - base</x:v>
      </x:c>
      <x:c r="B8" s="19" t="n">
        <x:v>30.4</x:v>
      </x:c>
      <x:c r="C8" s="19" t="n">
        <x:v>34</x:v>
      </x:c>
      <x:c r="D8" s="19" t="n">
        <x:v>37.2</x:v>
      </x:c>
      <x:c r="E8" s="19" t="n">
        <x:v>40</x:v>
      </x:c>
      <x:c r="F8" s="19" t="n">
        <x:v>43</x:v>
      </x:c>
      <x:c r="G8" s="19" t="n">
        <x:v>45.8</x:v>
      </x:c>
    </x:row>
    <x:row r="9">
      <x:c r="A9" t="str">
        <x:v>Margem EBITDA - base</x:v>
      </x:c>
      <x:c r="B9" s="20" t="n">
        <x:f>B8/B7</x:f>
        <x:v>0.16459122902003248</x:v>
      </x:c>
      <x:c r="C9" s="20" t="n">
        <x:f>C8/C7</x:f>
        <x:v>0.16748768472906403</x:v>
      </x:c>
      <x:c r="D9" s="20" t="n">
        <x:f>D8/D7</x:f>
        <x:v>0.1706422018348624</x:v>
      </x:c>
      <x:c r="E9" s="20" t="n">
        <x:f>E8/E7</x:f>
        <x:v>0.17152658662092626</x:v>
      </x:c>
      <x:c r="F9" s="20" t="n">
        <x:f>F8/F7</x:f>
        <x:v>0.17234468937875752</x:v>
      </x:c>
      <x:c r="G9" s="20" t="n">
        <x:f>G8/G7</x:f>
        <x:v>0.17237485886337975</x:v>
      </x:c>
    </x:row>
    <x:row r="10">
      <x:c r="A10" s="18" t="str">
        <x:v>PROJETO 3 LOJAS</x:v>
      </x:c>
      <x:c r="B10" s="56" t="str">
        <x:v>PROJETO 3 LOJAS</x:v>
      </x:c>
      <x:c r="C10" s="56" t="str">
        <x:v>PROJETO 3 LOJAS</x:v>
      </x:c>
      <x:c r="D10" s="56" t="str">
        <x:v>PROJETO 3 LOJAS</x:v>
      </x:c>
      <x:c r="E10" s="56" t="str">
        <x:v>PROJETO 3 LOJAS</x:v>
      </x:c>
      <x:c r="F10" s="56" t="str">
        <x:v>PROJETO 3 LOJAS</x:v>
      </x:c>
      <x:c r="G10" s="56" t="str">
        <x:v>PROJETO 3 LOJAS</x:v>
      </x:c>
    </x:row>
    <x:row r="11">
      <x:c r="A11" t="str">
        <x:v>Receita incremental</x:v>
      </x:c>
      <x:c r="B11" s="19" t="n">
        <x:v>0</x:v>
      </x:c>
      <x:c r="C11" s="19" t="n">
        <x:v>0</x:v>
      </x:c>
      <x:c r="D11" s="24" t="n">
        <x:f>SUM('RAMP_UP_MENSAL'!$B$21:$M$21)</x:f>
        <x:v>24.598333333333333</x:v>
      </x:c>
      <x:c r="E11" s="24" t="n">
        <x:f>SUM('RAMP_UP_MENSAL'!$N$21:$Y$21)</x:f>
        <x:v>85.7075</x:v>
      </x:c>
      <x:c r="F11" s="24" t="n">
        <x:f>SUM('RAMP_UP_MENSAL'!$Z$21:$AK$21)</x:f>
        <x:v>93.9725</x:v>
      </x:c>
      <x:c r="G11" s="24" t="n">
        <x:f>F11*(1+'PREMISSAS'!$B$14)</x:f>
        <x:v>98.671125</x:v>
      </x:c>
    </x:row>
    <x:row r="12">
      <x:c r="A12" t="str">
        <x:v>EBITDA incremental</x:v>
      </x:c>
      <x:c r="B12" s="19" t="n">
        <x:v>0</x:v>
      </x:c>
      <x:c r="C12" s="19" t="n">
        <x:v>0</x:v>
      </x:c>
      <x:c r="D12" s="24" t="n">
        <x:f>SUM('RAMP_UP_MENSAL'!$B$22:$M$22)</x:f>
        <x:v>1.209970025</x:v>
      </x:c>
      <x:c r="E12" s="24" t="n">
        <x:f>SUM('RAMP_UP_MENSAL'!$N$22:$Y$22)</x:f>
        <x:v>11.361668316666664</x:v>
      </x:c>
      <x:c r="F12" s="24" t="n">
        <x:f>SUM('RAMP_UP_MENSAL'!$Z$22:$AK$22)</x:f>
        <x:v>13.327012499999997</x:v>
      </x:c>
      <x:c r="G12" s="24" t="n">
        <x:f>F12*(1+'PREMISSAS'!$B$14)*(1+0.03)</x:f>
        <x:v>14.413164018749997</x:v>
      </x:c>
    </x:row>
    <x:row r="13">
      <x:c r="A13" t="str">
        <x:v>Margem EBITDA incremental</x:v>
      </x:c>
      <x:c r="B13" s="20" t="n">
        <x:f>IF(B11=0,0,B12/B11)</x:f>
        <x:v>0</x:v>
      </x:c>
      <x:c r="C13" s="20" t="n">
        <x:f>IF(C11=0,0,C12/C11)</x:f>
        <x:v>0</x:v>
      </x:c>
      <x:c r="D13" s="20" t="n">
        <x:f>IF(D11=0,0,D12/D11)</x:f>
        <x:v>0.04918910596923911</x:v>
      </x:c>
      <x:c r="E13" s="20" t="n">
        <x:f>IF(E11=0,0,E12/E11)</x:f>
        <x:v>0.1325632916216978</x:v>
      </x:c>
      <x:c r="F13" s="20" t="n">
        <x:f>IF(F11=0,0,F12/F11)</x:f>
        <x:v>0.14181821809571946</x:v>
      </x:c>
      <x:c r="G13" s="20" t="n">
        <x:f>IF(G11=0,0,G12/G11)</x:f>
        <x:v>0.14607276463859103</x:v>
      </x:c>
    </x:row>
    <x:row r="14">
      <x:c r="A14" s="18" t="str">
        <x:v>CONSOLIDADO</x:v>
      </x:c>
      <x:c r="B14" s="56" t="str">
        <x:v>CONSOLIDADO</x:v>
      </x:c>
      <x:c r="C14" s="56" t="str">
        <x:v>CONSOLIDADO</x:v>
      </x:c>
      <x:c r="D14" s="56" t="str">
        <x:v>CONSOLIDADO</x:v>
      </x:c>
      <x:c r="E14" s="56" t="str">
        <x:v>CONSOLIDADO</x:v>
      </x:c>
      <x:c r="F14" s="56" t="str">
        <x:v>CONSOLIDADO</x:v>
      </x:c>
      <x:c r="G14" s="56" t="str">
        <x:v>CONSOLIDADO</x:v>
      </x:c>
    </x:row>
    <x:row r="15">
      <x:c r="A15" t="str">
        <x:v>Receita consolidada</x:v>
      </x:c>
      <x:c r="B15" s="19" t="n">
        <x:f>B7+B11</x:f>
        <x:v>184.7</x:v>
      </x:c>
      <x:c r="C15" s="19" t="n">
        <x:f>C7+C11</x:f>
        <x:v>203</x:v>
      </x:c>
      <x:c r="D15" s="19" t="n">
        <x:f>D7+D11</x:f>
        <x:v>242.59833333333333</x:v>
      </x:c>
      <x:c r="E15" s="19" t="n">
        <x:f>E7+E11</x:f>
        <x:v>318.90749999999997</x:v>
      </x:c>
      <x:c r="F15" s="19" t="n">
        <x:f>F7+F11</x:f>
        <x:v>343.47249999999997</x:v>
      </x:c>
      <x:c r="G15" s="19" t="n">
        <x:f>G7+G11</x:f>
        <x:v>364.371125</x:v>
      </x:c>
    </x:row>
    <x:row r="16">
      <x:c r="A16" t="str">
        <x:v>EBITDA consolidado</x:v>
      </x:c>
      <x:c r="B16" s="19" t="n">
        <x:f>B8+B12</x:f>
        <x:v>30.4</x:v>
      </x:c>
      <x:c r="C16" s="19" t="n">
        <x:f>C8+C12</x:f>
        <x:v>34</x:v>
      </x:c>
      <x:c r="D16" s="19" t="n">
        <x:f>D8+D12</x:f>
        <x:v>38.409970025</x:v>
      </x:c>
      <x:c r="E16" s="19" t="n">
        <x:f>E8+E12</x:f>
        <x:v>51.361668316666666</x:v>
      </x:c>
      <x:c r="F16" s="19" t="n">
        <x:f>F8+F12</x:f>
        <x:v>56.327012499999995</x:v>
      </x:c>
      <x:c r="G16" s="19" t="n">
        <x:f>G8+G12</x:f>
        <x:v>60.21316401874999</x:v>
      </x:c>
    </x:row>
    <x:row r="17">
      <x:c r="A17" t="str">
        <x:v>Margem EBITDA consolidada</x:v>
      </x:c>
      <x:c r="B17" s="20" t="n">
        <x:f>B16/B15</x:f>
        <x:v>0.16459122902003248</x:v>
      </x:c>
      <x:c r="C17" s="20" t="n">
        <x:f>C16/C15</x:f>
        <x:v>0.16748768472906403</x:v>
      </x:c>
      <x:c r="D17" s="20" t="n">
        <x:f>D16/D15</x:f>
        <x:v>0.15832742746927364</x:v>
      </x:c>
      <x:c r="E17" s="20" t="n">
        <x:f>E16/E15</x:f>
        <x:v>0.1610550655493103</x:v>
      </x:c>
      <x:c r="F17" s="20" t="n">
        <x:f>F16/F15</x:f>
        <x:v>0.16399278690433733</x:v>
      </x:c>
      <x:c r="G17" s="20" t="n">
        <x:f>G16/G15</x:f>
        <x:v>0.16525229330054622</x:v>
      </x:c>
    </x:row>
    <x:row r="18">
      <x:c r="A18" t="str">
        <x:v>Dívida bruta</x:v>
      </x:c>
      <x:c r="B18" s="19" t="n">
        <x:v>65</x:v>
      </x:c>
      <x:c r="C18" s="19" t="n">
        <x:v>103</x:v>
      </x:c>
      <x:c r="D18" s="24" t="n">
        <x:f>'DIVIDA_PRO_FORMA'!D14</x:f>
        <x:v>96.625</x:v>
      </x:c>
      <x:c r="E18" s="24" t="n">
        <x:f>'DIVIDA_PRO_FORMA'!E14</x:f>
        <x:v>79.125</x:v>
      </x:c>
      <x:c r="F18" s="24" t="n">
        <x:f>'DIVIDA_PRO_FORMA'!F14</x:f>
        <x:v>59.625</x:v>
      </x:c>
      <x:c r="G18" s="24" t="n">
        <x:f>'DIVIDA_PRO_FORMA'!G14</x:f>
        <x:v>39.125</x:v>
      </x:c>
    </x:row>
    <x:row r="19">
      <x:c r="A19" t="str">
        <x:v>Caixa</x:v>
      </x:c>
      <x:c r="B19" s="19" t="n">
        <x:v>8.6</x:v>
      </x:c>
      <x:c r="C19" s="19" t="n">
        <x:v>5.3</x:v>
      </x:c>
      <x:c r="D19" s="24" t="n">
        <x:v>7</x:v>
      </x:c>
      <x:c r="E19" s="24" t="n">
        <x:v>10</x:v>
      </x:c>
      <x:c r="F19" s="24" t="n">
        <x:v>14</x:v>
      </x:c>
      <x:c r="G19" s="24" t="n">
        <x:v>18</x:v>
      </x:c>
    </x:row>
    <x:row r="20">
      <x:c r="A20" t="str">
        <x:v>Dívida líquida</x:v>
      </x:c>
      <x:c r="B20" s="19" t="n">
        <x:f>B18-B19</x:f>
        <x:v>56.4</x:v>
      </x:c>
      <x:c r="C20" s="19" t="n">
        <x:f>C18-C19</x:f>
        <x:v>97.7</x:v>
      </x:c>
      <x:c r="D20" s="24" t="n">
        <x:f>D18-D19</x:f>
        <x:v>89.625</x:v>
      </x:c>
      <x:c r="E20" s="24" t="n">
        <x:f>E18-E19</x:f>
        <x:v>69.125</x:v>
      </x:c>
      <x:c r="F20" s="24" t="n">
        <x:f>F18-F19</x:f>
        <x:v>45.625</x:v>
      </x:c>
      <x:c r="G20" s="24" t="n">
        <x:f>G18-G19</x:f>
        <x:v>21.125</x:v>
      </x:c>
    </x:row>
    <x:row r="21">
      <x:c r="A21" t="str">
        <x:v>Alavancagem líquida</x:v>
      </x:c>
      <x:c r="B21" s="57" t="n">
        <x:f>B20/B16</x:f>
        <x:v>1.855263157894737</x:v>
      </x:c>
      <x:c r="C21" s="57" t="n">
        <x:f>C20/C16</x:f>
        <x:v>2.873529411764706</x:v>
      </x:c>
      <x:c r="D21" s="58" t="n">
        <x:f>D20/D16</x:f>
        <x:v>2.3333785457699014</x:v>
      </x:c>
      <x:c r="E21" s="58" t="n">
        <x:f>E20/E16</x:f>
        <x:v>1.3458480276344373</x:v>
      </x:c>
      <x:c r="F21" s="58" t="n">
        <x:f>F20/F16</x:f>
        <x:v>0.8100021281973725</x:v>
      </x:c>
      <x:c r="G21" s="58" t="n">
        <x:f>G20/G16</x:f>
        <x:v>0.3508369032629113</x:v>
      </x:c>
    </x:row>
    <x:row r="22">
      <x:c r="A22" t="str">
        <x:v>CFADS</x:v>
      </x:c>
      <x:c r="B22" s="19" t="n">
        <x:v>18.6</x:v>
      </x:c>
      <x:c r="C22" s="19" t="n">
        <x:v>22</x:v>
      </x:c>
      <x:c r="D22" s="24" t="n">
        <x:f>D16-'DIVIDA_PRO_FORMA'!D16-'DIVIDA_PRO_FORMA'!D17-'DIVIDA_PRO_FORMA'!D18</x:f>
        <x:v>28.909970025</x:v>
      </x:c>
      <x:c r="E22" s="24" t="n">
        <x:f>E16-'DIVIDA_PRO_FORMA'!E16-'DIVIDA_PRO_FORMA'!E17-'DIVIDA_PRO_FORMA'!E18</x:f>
        <x:v>41.361668316666666</x:v>
      </x:c>
      <x:c r="F22" s="24" t="n">
        <x:f>F16-'DIVIDA_PRO_FORMA'!F16-'DIVIDA_PRO_FORMA'!F17-'DIVIDA_PRO_FORMA'!F18</x:f>
        <x:v>43.827012499999995</x:v>
      </x:c>
      <x:c r="G22" s="24" t="n">
        <x:f>G16-'DIVIDA_PRO_FORMA'!G16-'DIVIDA_PRO_FORMA'!G17-'DIVIDA_PRO_FORMA'!G18</x:f>
        <x:v>46.21316401874999</x:v>
      </x:c>
    </x:row>
    <x:row r="23">
      <x:c r="A23" t="str">
        <x:v>Serviço da dívida</x:v>
      </x:c>
      <x:c r="B23" s="19" t="n">
        <x:v>10.7</x:v>
      </x:c>
      <x:c r="C23" s="19" t="n">
        <x:v>13.5</x:v>
      </x:c>
      <x:c r="D23" s="24" t="n">
        <x:f>'DIVIDA_PRO_FORMA'!D21</x:f>
        <x:v>18.875625</x:v>
      </x:c>
      <x:c r="E23" s="24" t="n">
        <x:f>'DIVIDA_PRO_FORMA'!E21</x:f>
        <x:v>28.48375</x:v>
      </x:c>
      <x:c r="F23" s="24" t="n">
        <x:f>'DIVIDA_PRO_FORMA'!F21</x:f>
        <x:v>28.12875</x:v>
      </x:c>
      <x:c r="G23" s="24" t="n">
        <x:f>'DIVIDA_PRO_FORMA'!G21</x:f>
        <x:v>26.59375</x:v>
      </x:c>
    </x:row>
    <x:row r="24">
      <x:c r="A24" t="str">
        <x:v>DSCR</x:v>
      </x:c>
      <x:c r="B24" s="57" t="n">
        <x:f>B22/B23</x:f>
        <x:v>1.738317757009346</x:v>
      </x:c>
      <x:c r="C24" s="57" t="n">
        <x:f>C22/C23</x:f>
        <x:v>1.6296296296296295</x:v>
      </x:c>
      <x:c r="D24" s="57" t="n">
        <x:f>D22/D23</x:f>
        <x:v>1.5316033257176915</x:v>
      </x:c>
      <x:c r="E24" s="57" t="n">
        <x:f>E22/E23</x:f>
        <x:v>1.4521145676628486</x:v>
      </x:c>
      <x:c r="F24" s="57" t="n">
        <x:f>F22/F23</x:f>
        <x:v>1.5580860329733812</x:v>
      </x:c>
      <x:c r="G24" s="57" t="n">
        <x:f>G22/G23</x:f>
        <x:v>1.73774529800235</x:v>
      </x:c>
    </x:row>
    <x:row r="27">
      <x:c r="I27" s="33" t="str">
        <x:v>Ano</x:v>
      </x:c>
      <x:c r="J27" s="33" t="str">
        <x:v>Receita consolidada</x:v>
      </x:c>
      <x:c r="K27" s="33" t="str">
        <x:v>EBITDA consolidado</x:v>
      </x:c>
    </x:row>
    <x:row r="28">
      <x:c r="I28" t="str">
        <x:v>2025A</x:v>
      </x:c>
      <x:c r="J28" s="24" t="n">
        <x:f>B$15</x:f>
        <x:v>184.7</x:v>
      </x:c>
      <x:c r="K28" s="24" t="n">
        <x:f>B$16</x:f>
        <x:v>30.4</x:v>
      </x:c>
    </x:row>
    <x:row r="29">
      <x:c r="I29" t="str">
        <x:v>2026E</x:v>
      </x:c>
      <x:c r="J29" s="24" t="n">
        <x:f>C$15</x:f>
        <x:v>203</x:v>
      </x:c>
      <x:c r="K29" s="24" t="n">
        <x:f>C$16</x:f>
        <x:v>34</x:v>
      </x:c>
    </x:row>
    <x:row r="30">
      <x:c r="I30" t="str">
        <x:v>2027E</x:v>
      </x:c>
      <x:c r="J30" s="24" t="n">
        <x:f>D$15</x:f>
        <x:v>242.59833333333333</x:v>
      </x:c>
      <x:c r="K30" s="24" t="n">
        <x:f>D$16</x:f>
        <x:v>38.409970025</x:v>
      </x:c>
    </x:row>
    <x:row r="31">
      <x:c r="I31" t="str">
        <x:v>2028E</x:v>
      </x:c>
      <x:c r="J31" s="24" t="n">
        <x:f>E$15</x:f>
        <x:v>318.90749999999997</x:v>
      </x:c>
      <x:c r="K31" s="24" t="n">
        <x:f>E$16</x:f>
        <x:v>51.361668316666666</x:v>
      </x:c>
    </x:row>
    <x:row r="32">
      <x:c r="I32" t="str">
        <x:v>2029E</x:v>
      </x:c>
      <x:c r="J32" s="24" t="n">
        <x:f>F$15</x:f>
        <x:v>343.47249999999997</x:v>
      </x:c>
      <x:c r="K32" s="24" t="n">
        <x:f>F$16</x:f>
        <x:v>56.327012499999995</x:v>
      </x:c>
    </x:row>
    <x:row r="33">
      <x:c r="I33" t="str">
        <x:v>2030E</x:v>
      </x:c>
      <x:c r="J33" s="24" t="n">
        <x:f>G$15</x:f>
        <x:v>364.371125</x:v>
      </x:c>
      <x:c r="K33" s="24" t="n">
        <x:f>G$16</x:f>
        <x:v>60.21316401874999</x:v>
      </x:c>
    </x:row>
  </x:sheetData>
  <x:mergeCells>
    <x:mergeCell ref="A1:G1"/>
    <x:mergeCell ref="A2:G2"/>
    <x:mergeCell ref="A6:G6"/>
    <x:mergeCell ref="A10:G10"/>
    <x:mergeCell ref="A14:G14"/>
  </x:mergeCells>
  <x:pageMargins left="0.7" right="0.7" top="0.75" bottom="0.75" header="0.3" footer="0.3"/>
  <x:drawing xmlns:r="http://schemas.openxmlformats.org/officeDocument/2006/relationships" r:id="R99f365665e934a6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5" hidden="0" customWidth="1"/>
    <x:col min="4" max="4" width="38" hidden="0" customWidth="1"/>
    <x:col min="5" max="5" width="16" hidden="0" customWidth="1"/>
    <x:col min="6" max="6" width="5" hidden="0" customWidth="1"/>
    <x:col min="7" max="7" width="38" hidden="0" customWidth="1"/>
  </x:cols>
  <x:sheetData>
    <x:row r="1" ht="30" customHeight="1">
      <x:c r="A1" s="3" t="str">
        <x:v>FONTES E USOS DA TRANSAÇÃO</x:v>
      </x:c>
      <x:c r="B1" s="3" t="str">
        <x:v>FONTES E USOS DA TRANSAÇÃO</x:v>
      </x:c>
      <x:c r="C1" s="3" t="str">
        <x:v>FONTES E USOS DA TRANSAÇÃO</x:v>
      </x:c>
      <x:c r="D1" s="3" t="str">
        <x:v>FONTES E USOS DA TRANSAÇÃO</x:v>
      </x:c>
      <x:c r="E1" s="3" t="str">
        <x:v>FONTES E USOS DA TRANSAÇÃO</x:v>
      </x:c>
      <x:c r="F1" s="3" t="str">
        <x:v>FONTES E USOS DA TRANSAÇÃO</x:v>
      </x:c>
      <x:c r="G1" s="3" t="str">
        <x:v>FONTES E USOS DA TRANSAÇÃO</x:v>
      </x:c>
    </x:row>
    <x:row r="2" ht="28" customHeight="1">
      <x:c r="A2" s="7" t="str">
        <x:v>Separação entre refinanciamento e expansão - R$ milhões</x:v>
      </x:c>
      <x:c r="B2" s="7" t="str">
        <x:v>Separação entre refinanciamento e expansão - R$ milhões</x:v>
      </x:c>
      <x:c r="C2" s="7" t="str">
        <x:v>Separação entre refinanciamento e expansão - R$ milhões</x:v>
      </x:c>
      <x:c r="D2" s="7" t="str">
        <x:v>Separação entre refinanciamento e expansão - R$ milhões</x:v>
      </x:c>
      <x:c r="E2" s="7" t="str">
        <x:v>Separação entre refinanciamento e expansão - R$ milhões</x:v>
      </x:c>
      <x:c r="F2" s="7" t="str">
        <x:v>Separação entre refinanciamento e expansão - R$ milhões</x:v>
      </x:c>
      <x:c r="G2" s="7" t="str">
        <x:v>Separação entre refinanciamento e expansão - R$ milhões</x:v>
      </x:c>
    </x:row>
    <x:row r="5">
      <x:c r="A5" s="33" t="str">
        <x:v>USOS</x:v>
      </x:c>
      <x:c r="B5" s="33" t="str">
        <x:v>R$ mm</x:v>
      </x:c>
      <x:c r="C5" s="33"/>
      <x:c r="D5" s="33" t="str">
        <x:v>FONTES</x:v>
      </x:c>
      <x:c r="E5" s="33" t="str">
        <x:v>R$ mm</x:v>
      </x:c>
      <x:c r="F5" s="33"/>
      <x:c r="G5" s="33" t="str">
        <x:v>Observação</x:v>
      </x:c>
    </x:row>
    <x:row r="6">
      <x:c r="A6" t="str">
        <x:v>Projeto 3 lojas + CD/IT</x:v>
      </x:c>
      <x:c r="B6" s="24" t="n">
        <x:f>'LOJAS'!$M$10</x:f>
        <x:v>48.99999999999999</x:v>
      </x:c>
      <x:c r="C6"/>
      <x:c r="D6" t="str">
        <x:v>Nova dívida - tranche expansão</x:v>
      </x:c>
      <x:c r="E6" s="39" t="n">
        <x:v>35</x:v>
      </x:c>
      <x:c r="F6"/>
      <x:c r="G6" t="str">
        <x:v>Desembolso por marcos</x:v>
      </x:c>
    </x:row>
    <x:row r="7">
      <x:c r="A7" t="str">
        <x:v>Refinanciamento de curto prazo</x:v>
      </x:c>
      <x:c r="B7" s="39" t="n">
        <x:v>19</x:v>
      </x:c>
      <x:c r="C7"/>
      <x:c r="D7" t="str">
        <x:v>Nova dívida - tranche refinanciamento</x:v>
      </x:c>
      <x:c r="E7" s="39" t="n">
        <x:v>19</x:v>
      </x:c>
      <x:c r="F7"/>
      <x:c r="G7" t="str">
        <x:v>Payoff DIV-001 e DIV-006</x:v>
      </x:c>
    </x:row>
    <x:row r="8">
      <x:c r="A8" t="str"/>
      <x:c r="B8" s="19"/>
      <x:c r="C8"/>
      <x:c r="D8" t="str">
        <x:v>Equity dos acionistas</x:v>
      </x:c>
      <x:c r="E8" s="39" t="n">
        <x:v>10</x:v>
      </x:c>
      <x:c r="F8"/>
      <x:c r="G8" t="str">
        <x:v>Aporte antes do segundo desembolso</x:v>
      </x:c>
    </x:row>
    <x:row r="9">
      <x:c r="A9" t="str"/>
      <x:c r="B9" s="19"/>
      <x:c r="C9"/>
      <x:c r="D9" t="str">
        <x:v>Caixa da companhia</x:v>
      </x:c>
      <x:c r="E9" s="39" t="n">
        <x:v>4</x:v>
      </x:c>
      <x:c r="F9"/>
      <x:c r="G9" t="str">
        <x:v>Mantém caixa mínimo de ~R$5m</x:v>
      </x:c>
    </x:row>
    <x:row r="10">
      <x:c r="A10" s="44" t="str">
        <x:v>Total</x:v>
      </x:c>
      <x:c r="B10" s="45" t="n">
        <x:f>SUM(B6:B9)</x:f>
        <x:v>68</x:v>
      </x:c>
      <x:c r="C10" s="44"/>
      <x:c r="D10" s="44" t="str">
        <x:v>Total</x:v>
      </x:c>
      <x:c r="E10" s="45" t="n">
        <x:f>SUM(E6:E9)</x:f>
        <x:v>68</x:v>
      </x:c>
      <x:c r="F10" s="44"/>
      <x:c r="G10" s="44"/>
    </x:row>
    <x:row r="13">
      <x:c r="A13" s="61" t="str">
        <x:v>A captação total pretendida é R$54m. Apenas R$35m financiam o projeto; R$19m substituem dívida existente. Logo, o incremento bruto de dívida é R$35m, antes de amortizações e variação de caixa.</x:v>
      </x:c>
      <x:c r="B13" s="61" t="str">
        <x:v>A captação total pretendida é R$54m. Apenas R$35m financiam o projeto; R$19m substituem dívida existente. Logo, o incremento bruto de dívida é R$35m, antes de amortizações e variação de caixa.</x:v>
      </x:c>
      <x:c r="C13" s="61" t="str">
        <x:v>A captação total pretendida é R$54m. Apenas R$35m financiam o projeto; R$19m substituem dívida existente. Logo, o incremento bruto de dívida é R$35m, antes de amortizações e variação de caixa.</x:v>
      </x:c>
      <x:c r="D13" s="61" t="str">
        <x:v>A captação total pretendida é R$54m. Apenas R$35m financiam o projeto; R$19m substituem dívida existente. Logo, o incremento bruto de dívida é R$35m, antes de amortizações e variação de caixa.</x:v>
      </x:c>
      <x:c r="E13" s="61" t="str">
        <x:v>A captação total pretendida é R$54m. Apenas R$35m financiam o projeto; R$19m substituem dívida existente. Logo, o incremento bruto de dívida é R$35m, antes de amortizações e variação de caixa.</x:v>
      </x:c>
      <x:c r="F13" s="61" t="str">
        <x:v>A captação total pretendida é R$54m. Apenas R$35m financiam o projeto; R$19m substituem dívida existente. Logo, o incremento bruto de dívida é R$35m, antes de amortizações e variação de caixa.</x:v>
      </x:c>
      <x:c r="G13" s="61" t="str">
        <x:v>A captação total pretendida é R$54m. Apenas R$35m financiam o projeto; R$19m substituem dívida existente. Logo, o incremento bruto de dívida é R$35m, antes de amortizações e variação de caixa.</x:v>
      </x:c>
    </x:row>
    <x:row r="14">
      <x:c r="A14" s="61" t="str">
        <x:v>A captação total pretendida é R$54m. Apenas R$35m financiam o projeto; R$19m substituem dívida existente. Logo, o incremento bruto de dívida é R$35m, antes de amortizações e variação de caixa.</x:v>
      </x:c>
      <x:c r="B14" s="61" t="str">
        <x:v>A captação total pretendida é R$54m. Apenas R$35m financiam o projeto; R$19m substituem dívida existente. Logo, o incremento bruto de dívida é R$35m, antes de amortizações e variação de caixa.</x:v>
      </x:c>
      <x:c r="C14" s="61" t="str">
        <x:v>A captação total pretendida é R$54m. Apenas R$35m financiam o projeto; R$19m substituem dívida existente. Logo, o incremento bruto de dívida é R$35m, antes de amortizações e variação de caixa.</x:v>
      </x:c>
      <x:c r="D14" s="61" t="str">
        <x:v>A captação total pretendida é R$54m. Apenas R$35m financiam o projeto; R$19m substituem dívida existente. Logo, o incremento bruto de dívida é R$35m, antes de amortizações e variação de caixa.</x:v>
      </x:c>
      <x:c r="E14" s="61" t="str">
        <x:v>A captação total pretendida é R$54m. Apenas R$35m financiam o projeto; R$19m substituem dívida existente. Logo, o incremento bruto de dívida é R$35m, antes de amortizações e variação de caixa.</x:v>
      </x:c>
      <x:c r="F14" s="61" t="str">
        <x:v>A captação total pretendida é R$54m. Apenas R$35m financiam o projeto; R$19m substituem dívida existente. Logo, o incremento bruto de dívida é R$35m, antes de amortizações e variação de caixa.</x:v>
      </x:c>
      <x:c r="G14" s="61" t="str">
        <x:v>A captação total pretendida é R$54m. Apenas R$35m financiam o projeto; R$19m substituem dívida existente. Logo, o incremento bruto de dívida é R$35m, antes de amortizações e variação de caixa.</x:v>
      </x:c>
    </x:row>
    <x:row r="15">
      <x:c r="A15" s="61" t="str">
        <x:v>A captação total pretendida é R$54m. Apenas R$35m financiam o projeto; R$19m substituem dívida existente. Logo, o incremento bruto de dívida é R$35m, antes de amortizações e variação de caixa.</x:v>
      </x:c>
      <x:c r="B15" s="61" t="str">
        <x:v>A captação total pretendida é R$54m. Apenas R$35m financiam o projeto; R$19m substituem dívida existente. Logo, o incremento bruto de dívida é R$35m, antes de amortizações e variação de caixa.</x:v>
      </x:c>
      <x:c r="C15" s="61" t="str">
        <x:v>A captação total pretendida é R$54m. Apenas R$35m financiam o projeto; R$19m substituem dívida existente. Logo, o incremento bruto de dívida é R$35m, antes de amortizações e variação de caixa.</x:v>
      </x:c>
      <x:c r="D15" s="61" t="str">
        <x:v>A captação total pretendida é R$54m. Apenas R$35m financiam o projeto; R$19m substituem dívida existente. Logo, o incremento bruto de dívida é R$35m, antes de amortizações e variação de caixa.</x:v>
      </x:c>
      <x:c r="E15" s="61" t="str">
        <x:v>A captação total pretendida é R$54m. Apenas R$35m financiam o projeto; R$19m substituem dívida existente. Logo, o incremento bruto de dívida é R$35m, antes de amortizações e variação de caixa.</x:v>
      </x:c>
      <x:c r="F15" s="61" t="str">
        <x:v>A captação total pretendida é R$54m. Apenas R$35m financiam o projeto; R$19m substituem dívida existente. Logo, o incremento bruto de dívida é R$35m, antes de amortizações e variação de caixa.</x:v>
      </x:c>
      <x:c r="G15" s="61" t="str">
        <x:v>A captação total pretendida é R$54m. Apenas R$35m financiam o projeto; R$19m substituem dívida existente. Logo, o incremento bruto de dívida é R$35m, antes de amortizações e variação de caixa.</x:v>
      </x:c>
    </x:row>
  </x:sheetData>
  <x:mergeCells>
    <x:mergeCell ref="A1:G1"/>
    <x:mergeCell ref="A2:G2"/>
    <x:mergeCell ref="A13:G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3" t="str">
        <x:v>DÍVIDA PRO FORMA E COBERTURA</x:v>
      </x:c>
      <x:c r="B1" s="3" t="str">
        <x:v>DÍVIDA PRO FORMA E COBERTURA</x:v>
      </x:c>
      <x:c r="C1" s="3" t="str">
        <x:v>DÍVIDA PRO FORMA E COBERTURA</x:v>
      </x:c>
      <x:c r="D1" s="3" t="str">
        <x:v>DÍVIDA PRO FORMA E COBERTURA</x:v>
      </x:c>
      <x:c r="E1" s="3" t="str">
        <x:v>DÍVIDA PRO FORMA E COBERTURA</x:v>
      </x:c>
      <x:c r="F1" s="3" t="str">
        <x:v>DÍVIDA PRO FORMA E COBERTURA</x:v>
      </x:c>
      <x:c r="G1" s="3" t="str">
        <x:v>DÍVIDA PRO FORMA E COBERTURA</x:v>
      </x:c>
    </x:row>
    <x:row r="2" ht="28" customHeight="1">
      <x:c r="A2" s="7" t="str">
        <x:v>Fechamento assumido em dez/2026 - R$ milhões</x:v>
      </x:c>
      <x:c r="B2" s="7" t="str">
        <x:v>Fechamento assumido em dez/2026 - R$ milhões</x:v>
      </x:c>
      <x:c r="C2" s="7" t="str">
        <x:v>Fechamento assumido em dez/2026 - R$ milhões</x:v>
      </x:c>
      <x:c r="D2" s="7" t="str">
        <x:v>Fechamento assumido em dez/2026 - R$ milhões</x:v>
      </x:c>
      <x:c r="E2" s="7" t="str">
        <x:v>Fechamento assumido em dez/2026 - R$ milhões</x:v>
      </x:c>
      <x:c r="F2" s="7" t="str">
        <x:v>Fechamento assumido em dez/2026 - R$ milhões</x:v>
      </x:c>
      <x:c r="G2" s="7" t="str">
        <x:v>Fechamento assumido em dez/2026 - R$ milhões</x:v>
      </x:c>
    </x:row>
    <x:row r="5">
      <x:c r="A5" s="33" t="str">
        <x:v>R$ milhões</x:v>
      </x:c>
      <x:c r="B5" s="54" t="n">
        <x:v>46022</x:v>
      </x:c>
      <x:c r="C5" s="55" t="n">
        <x:v>46387</x:v>
      </x:c>
      <x:c r="D5" s="55" t="n">
        <x:v>46752</x:v>
      </x:c>
      <x:c r="E5" s="55" t="n">
        <x:v>47118</x:v>
      </x:c>
      <x:c r="F5" s="55" t="n">
        <x:v>47483</x:v>
      </x:c>
      <x:c r="G5" s="55" t="n">
        <x:v>47848</x:v>
      </x:c>
    </x:row>
    <x:row r="6">
      <x:c r="A6" t="str">
        <x:v>Dívida existente - início</x:v>
      </x:c>
      <x:c r="B6" s="19" t="n">
        <x:v>65</x:v>
      </x:c>
      <x:c r="C6" s="19" t="n">
        <x:v>68</x:v>
      </x:c>
      <x:c r="D6" s="19" t="n">
        <x:v>49</x:v>
      </x:c>
      <x:c r="E6" s="19" t="n">
        <x:v>46</x:v>
      </x:c>
      <x:c r="F6" s="19" t="n">
        <x:v>42</x:v>
      </x:c>
      <x:c r="G6" s="19" t="n">
        <x:v>36</x:v>
      </x:c>
    </x:row>
    <x:row r="7">
      <x:c r="A7" t="str">
        <x:v>Refinanciamento / amortização extraordinária</x:v>
      </x:c>
      <x:c r="B7" s="19" t="n">
        <x:v>0</x:v>
      </x:c>
      <x:c r="C7" s="19" t="n">
        <x:v>19</x:v>
      </x:c>
      <x:c r="D7" s="19" t="n">
        <x:v>0</x:v>
      </x:c>
      <x:c r="E7" s="19" t="n">
        <x:v>0</x:v>
      </x:c>
      <x:c r="F7" s="19" t="n">
        <x:v>0</x:v>
      </x:c>
      <x:c r="G7" s="19" t="n">
        <x:v>0</x:v>
      </x:c>
    </x:row>
    <x:row r="8">
      <x:c r="A8" t="str">
        <x:v>Amortização dívida existente</x:v>
      </x:c>
      <x:c r="B8" s="19" t="n">
        <x:v>0</x:v>
      </x:c>
      <x:c r="C8" s="19" t="n">
        <x:v>0</x:v>
      </x:c>
      <x:c r="D8" s="19" t="n">
        <x:v>3</x:v>
      </x:c>
      <x:c r="E8" s="19" t="n">
        <x:v>4</x:v>
      </x:c>
      <x:c r="F8" s="19" t="n">
        <x:v>6</x:v>
      </x:c>
      <x:c r="G8" s="19" t="n">
        <x:v>7</x:v>
      </x:c>
    </x:row>
    <x:row r="9">
      <x:c r="A9" t="str">
        <x:v>Dívida existente - fim</x:v>
      </x:c>
      <x:c r="B9" s="19" t="n">
        <x:f>B6-B7-B8</x:f>
        <x:v>65</x:v>
      </x:c>
      <x:c r="C9" s="19" t="n">
        <x:f>C6-C7-C8</x:f>
        <x:v>49</x:v>
      </x:c>
      <x:c r="D9" s="19" t="n">
        <x:f>D6-D7-D8</x:f>
        <x:v>46</x:v>
      </x:c>
      <x:c r="E9" s="19" t="n">
        <x:f>E6-E7-E8</x:f>
        <x:v>42</x:v>
      </x:c>
      <x:c r="F9" s="19" t="n">
        <x:f>F6-F7-F8</x:f>
        <x:v>36</x:v>
      </x:c>
      <x:c r="G9" s="19" t="n">
        <x:f>G6-G7-G8</x:f>
        <x:v>29</x:v>
      </x:c>
    </x:row>
    <x:row r="10">
      <x:c r="A10" t="str">
        <x:v>Nova dívida - início</x:v>
      </x:c>
      <x:c r="B10" s="19" t="n">
        <x:v>0</x:v>
      </x:c>
      <x:c r="C10" s="19" t="n">
        <x:v>0</x:v>
      </x:c>
      <x:c r="D10" s="19" t="n">
        <x:v>54</x:v>
      </x:c>
      <x:c r="E10" s="19" t="n">
        <x:v>50.625</x:v>
      </x:c>
      <x:c r="F10" s="19" t="n">
        <x:v>37.125</x:v>
      </x:c>
      <x:c r="G10" s="19" t="n">
        <x:v>23.625</x:v>
      </x:c>
    </x:row>
    <x:row r="11">
      <x:c r="A11" t="str">
        <x:v>Desembolso nova dívida</x:v>
      </x:c>
      <x:c r="B11" s="19" t="n">
        <x:v>0</x:v>
      </x:c>
      <x:c r="C11" s="19" t="n">
        <x:v>54</x:v>
      </x:c>
      <x:c r="D11" s="19" t="n">
        <x:v>0</x:v>
      </x:c>
      <x:c r="E11" s="19" t="n">
        <x:v>0</x:v>
      </x:c>
      <x:c r="F11" s="19" t="n">
        <x:v>0</x:v>
      </x:c>
      <x:c r="G11" s="19" t="n">
        <x:v>0</x:v>
      </x:c>
    </x:row>
    <x:row r="12">
      <x:c r="A12" t="str">
        <x:v>Amortização nova dívida</x:v>
      </x:c>
      <x:c r="B12" s="19" t="n">
        <x:v>0</x:v>
      </x:c>
      <x:c r="C12" s="19" t="n">
        <x:v>0</x:v>
      </x:c>
      <x:c r="D12" s="19" t="n">
        <x:v>3.375</x:v>
      </x:c>
      <x:c r="E12" s="19" t="n">
        <x:v>13.5</x:v>
      </x:c>
      <x:c r="F12" s="19" t="n">
        <x:v>13.5</x:v>
      </x:c>
      <x:c r="G12" s="19" t="n">
        <x:v>13.5</x:v>
      </x:c>
    </x:row>
    <x:row r="13">
      <x:c r="A13" t="str">
        <x:v>Nova dívida - fim</x:v>
      </x:c>
      <x:c r="B13" s="19" t="n">
        <x:f>B10+B11-B12</x:f>
        <x:v>0</x:v>
      </x:c>
      <x:c r="C13" s="19" t="n">
        <x:f>C10+C11-C12</x:f>
        <x:v>54</x:v>
      </x:c>
      <x:c r="D13" s="19" t="n">
        <x:f>D10+D11-D12</x:f>
        <x:v>50.625</x:v>
      </x:c>
      <x:c r="E13" s="19" t="n">
        <x:f>E10+E11-E12</x:f>
        <x:v>37.125</x:v>
      </x:c>
      <x:c r="F13" s="19" t="n">
        <x:f>F10+F11-F12</x:f>
        <x:v>23.625</x:v>
      </x:c>
      <x:c r="G13" s="19" t="n">
        <x:f>G10+G11-G12</x:f>
        <x:v>10.125</x:v>
      </x:c>
    </x:row>
    <x:row r="14">
      <x:c r="A14" s="44" t="str">
        <x:v>Dívida bruta - fim</x:v>
      </x:c>
      <x:c r="B14" s="45" t="n">
        <x:f>B9+B13</x:f>
        <x:v>65</x:v>
      </x:c>
      <x:c r="C14" s="45" t="n">
        <x:f>C9+C13</x:f>
        <x:v>103</x:v>
      </x:c>
      <x:c r="D14" s="45" t="n">
        <x:f>D9+D13</x:f>
        <x:v>96.625</x:v>
      </x:c>
      <x:c r="E14" s="45" t="n">
        <x:f>E9+E13</x:f>
        <x:v>79.125</x:v>
      </x:c>
      <x:c r="F14" s="45" t="n">
        <x:f>F9+F13</x:f>
        <x:v>59.625</x:v>
      </x:c>
      <x:c r="G14" s="45" t="n">
        <x:f>G9+G13</x:f>
        <x:v>39.125</x:v>
      </x:c>
    </x:row>
    <x:row r="15">
      <x:c r="A15" t="str"/>
      <x:c r="B15" s="19"/>
      <x:c r="C15" s="19"/>
      <x:c r="D15" s="19"/>
      <x:c r="E15" s="19"/>
      <x:c r="F15" s="19"/>
      <x:c r="G15" s="19"/>
    </x:row>
    <x:row r="16">
      <x:c r="A16" t="str">
        <x:v>Imposto caixa</x:v>
      </x:c>
      <x:c r="B16" s="19" t="n">
        <x:v>5.6</x:v>
      </x:c>
      <x:c r="C16" s="19" t="n">
        <x:v>5.8</x:v>
      </x:c>
      <x:c r="D16" s="19" t="n">
        <x:v>2.5</x:v>
      </x:c>
      <x:c r="E16" s="19" t="n">
        <x:v>4</x:v>
      </x:c>
      <x:c r="F16" s="19" t="n">
        <x:v>6</x:v>
      </x:c>
      <x:c r="G16" s="19" t="n">
        <x:v>7</x:v>
      </x:c>
    </x:row>
    <x:row r="17">
      <x:c r="A17" t="str">
        <x:v>Variação de capital de giro</x:v>
      </x:c>
      <x:c r="B17" s="19" t="n">
        <x:v>2.4</x:v>
      </x:c>
      <x:c r="C17" s="19" t="n">
        <x:v>2.6</x:v>
      </x:c>
      <x:c r="D17" s="19" t="n">
        <x:v>2</x:v>
      </x:c>
      <x:c r="E17" s="19" t="n">
        <x:v>1.5</x:v>
      </x:c>
      <x:c r="F17" s="19" t="n">
        <x:v>1.5</x:v>
      </x:c>
      <x:c r="G17" s="19" t="n">
        <x:v>1.5</x:v>
      </x:c>
    </x:row>
    <x:row r="18">
      <x:c r="A18" t="str">
        <x:v>Capex de manutenção</x:v>
      </x:c>
      <x:c r="B18" s="19" t="n">
        <x:v>5.4</x:v>
      </x:c>
      <x:c r="C18" s="19" t="n">
        <x:v>5.8</x:v>
      </x:c>
      <x:c r="D18" s="19" t="n">
        <x:v>5</x:v>
      </x:c>
      <x:c r="E18" s="19" t="n">
        <x:v>4.5</x:v>
      </x:c>
      <x:c r="F18" s="19" t="n">
        <x:v>5</x:v>
      </x:c>
      <x:c r="G18" s="19" t="n">
        <x:v>5.5</x:v>
      </x:c>
    </x:row>
    <x:row r="19">
      <x:c r="A19" t="str">
        <x:v>Juros caixa</x:v>
      </x:c>
      <x:c r="B19" s="19" t="n">
        <x:v>8.6</x:v>
      </x:c>
      <x:c r="C19" s="19" t="n">
        <x:v>11</x:v>
      </x:c>
      <x:c r="D19" s="24" t="n">
        <x:f>((D6+D9)/2*'PREMISSAS'!$B$8)+((D10+D13)/2*'PREMISSAS'!$B$9)</x:f>
        <x:v>12.500625</x:v>
      </x:c>
      <x:c r="E19" s="24" t="n">
        <x:f>((E6+E9)/2*'PREMISSAS'!$B$8)+((E10+E13)/2*'PREMISSAS'!$B$9)</x:f>
        <x:v>10.98375</x:v>
      </x:c>
      <x:c r="F19" s="24" t="n">
        <x:f>((F6+F9)/2*'PREMISSAS'!$B$8)+((F10+F13)/2*'PREMISSAS'!$B$9)</x:f>
        <x:v>8.62875</x:v>
      </x:c>
      <x:c r="G19" s="24" t="n">
        <x:f>((G6+G9)/2*'PREMISSAS'!$B$8)+((G10+G13)/2*'PREMISSAS'!$B$9)</x:f>
        <x:v>6.09375</x:v>
      </x:c>
    </x:row>
    <x:row r="20">
      <x:c r="A20" t="str">
        <x:v>Principal</x:v>
      </x:c>
      <x:c r="B20" s="19" t="n">
        <x:v>4</x:v>
      </x:c>
      <x:c r="C20" s="19" t="n">
        <x:v>2</x:v>
      </x:c>
      <x:c r="D20" s="24" t="n">
        <x:f>D8+D12</x:f>
        <x:v>6.375</x:v>
      </x:c>
      <x:c r="E20" s="24" t="n">
        <x:f>E8+E12</x:f>
        <x:v>17.5</x:v>
      </x:c>
      <x:c r="F20" s="24" t="n">
        <x:f>F8+F12</x:f>
        <x:v>19.5</x:v>
      </x:c>
      <x:c r="G20" s="24" t="n">
        <x:f>G8+G12</x:f>
        <x:v>20.5</x:v>
      </x:c>
    </x:row>
    <x:row r="21">
      <x:c r="A21" s="44" t="str">
        <x:v>Serviço da dívida</x:v>
      </x:c>
      <x:c r="B21" s="45" t="n">
        <x:v>12.6</x:v>
      </x:c>
      <x:c r="C21" s="45" t="n">
        <x:v>13</x:v>
      </x:c>
      <x:c r="D21" s="45" t="n">
        <x:f>D19+D20</x:f>
        <x:v>18.875625</x:v>
      </x:c>
      <x:c r="E21" s="45" t="n">
        <x:f>E19+E20</x:f>
        <x:v>28.48375</x:v>
      </x:c>
      <x:c r="F21" s="45" t="n">
        <x:f>F19+F20</x:f>
        <x:v>28.12875</x:v>
      </x:c>
      <x:c r="G21" s="45" t="n">
        <x:f>G19+G20</x:f>
        <x:v>26.59375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3" t="str">
        <x:v>CENÁRIOS DO PROJETO</x:v>
      </x:c>
      <x:c r="B1" s="3" t="str">
        <x:v>CENÁRIOS DO PROJETO</x:v>
      </x:c>
      <x:c r="C1" s="3" t="str">
        <x:v>CENÁRIOS DO PROJETO</x:v>
      </x:c>
      <x:c r="D1" s="3" t="str">
        <x:v>CENÁRIOS DO PROJETO</x:v>
      </x:c>
      <x:c r="E1" s="3" t="str">
        <x:v>CENÁRIOS DO PROJETO</x:v>
      </x:c>
      <x:c r="F1" s="3" t="str">
        <x:v>CENÁRIOS DO PROJETO</x:v>
      </x:c>
      <x:c r="G1" s="3" t="str">
        <x:v>CENÁRIOS DO PROJETO</x:v>
      </x:c>
      <x:c r="H1" s="3" t="str">
        <x:v>CENÁRIOS DO PROJETO</x:v>
      </x:c>
    </x:row>
    <x:row r="2" ht="28" customHeight="1">
      <x:c r="A2" s="7" t="str">
        <x:v>Impacto sobre projeto e cobertura em 2028 - R$ milhões</x:v>
      </x:c>
      <x:c r="B2" s="7" t="str">
        <x:v>Impacto sobre projeto e cobertura em 2028 - R$ milhões</x:v>
      </x:c>
      <x:c r="C2" s="7" t="str">
        <x:v>Impacto sobre projeto e cobertura em 2028 - R$ milhões</x:v>
      </x:c>
      <x:c r="D2" s="7" t="str">
        <x:v>Impacto sobre projeto e cobertura em 2028 - R$ milhões</x:v>
      </x:c>
      <x:c r="E2" s="7" t="str">
        <x:v>Impacto sobre projeto e cobertura em 2028 - R$ milhões</x:v>
      </x:c>
      <x:c r="F2" s="7" t="str">
        <x:v>Impacto sobre projeto e cobertura em 2028 - R$ milhões</x:v>
      </x:c>
      <x:c r="G2" s="7" t="str">
        <x:v>Impacto sobre projeto e cobertura em 2028 - R$ milhões</x:v>
      </x:c>
      <x:c r="H2" s="7" t="str">
        <x:v>Impacto sobre projeto e cobertura em 2028 - R$ milhões</x:v>
      </x:c>
    </x:row>
    <x:row r="5">
      <x:c r="A5" s="33" t="str">
        <x:v>Cenário</x:v>
      </x:c>
      <x:c r="B5" s="33" t="str">
        <x:v>Atraso abertura</x:v>
      </x:c>
      <x:c r="C5" s="33" t="str">
        <x:v>Receita vs base</x:v>
      </x:c>
      <x:c r="D5" s="33" t="str">
        <x:v>Margem vs base</x:v>
      </x:c>
      <x:c r="E5" s="33" t="str">
        <x:v>Capex vs base</x:v>
      </x:c>
      <x:c r="F5" s="33" t="str">
        <x:v>Receita 2028</x:v>
      </x:c>
      <x:c r="G5" s="33" t="str">
        <x:v>EBITDA 2028</x:v>
      </x:c>
      <x:c r="H5" s="33" t="str">
        <x:v>DSCR 2028</x:v>
      </x:c>
    </x:row>
    <x:row r="6">
      <x:c r="A6" t="str">
        <x:v>Base</x:v>
      </x:c>
      <x:c r="B6" s="64" t="n">
        <x:v>0</x:v>
      </x:c>
      <x:c r="C6" s="40" t="n">
        <x:v>0</x:v>
      </x:c>
      <x:c r="D6" s="40" t="n">
        <x:v>0</x:v>
      </x:c>
      <x:c r="E6" s="40" t="n">
        <x:v>0</x:v>
      </x:c>
      <x:c r="F6" s="24" t="n">
        <x:f>'RESUMO_ANUAL'!$E$11*(1+C6)*IF(B6=0,1,0.62)</x:f>
        <x:v>85.7075</x:v>
      </x:c>
      <x:c r="G6" s="24" t="n">
        <x:f>MAX(-5,F6*('RESUMO_ANUAL'!$E$13+D6))</x:f>
        <x:v>11.361668316666664</x:v>
      </x:c>
      <x:c r="H6" s="58" t="n">
        <x:f>('RESUMO_ANUAL'!$E$8+G6-'DIVIDA_PRO_FORMA'!$E$16-'DIVIDA_PRO_FORMA'!$E$17-'DIVIDA_PRO_FORMA'!$E$18*(1+E6))/'DIVIDA_PRO_FORMA'!$E$20</x:f>
        <x:v>2.363523903809524</x:v>
      </x:c>
    </x:row>
    <x:row r="7">
      <x:c r="A7" t="str">
        <x:v>Downside</x:v>
      </x:c>
      <x:c r="B7" s="64" t="n">
        <x:v>6</x:v>
      </x:c>
      <x:c r="C7" s="40" t="n">
        <x:v>-0.15</x:v>
      </x:c>
      <x:c r="D7" s="40" t="n">
        <x:v>-0.02</x:v>
      </x:c>
      <x:c r="E7" s="40" t="n">
        <x:v>0.1</x:v>
      </x:c>
      <x:c r="F7" s="24" t="n">
        <x:f>'RESUMO_ANUAL'!$E$11*(1+C7)*IF(B7=0,1,0.62)</x:f>
        <x:v>45.167852499999995</x:v>
      </x:c>
      <x:c r="G7" s="24" t="n">
        <x:f>MAX(-5,F7*('RESUMO_ANUAL'!$E$13+D7))</x:f>
        <x:v>5.0842421528833315</x:v>
      </x:c>
      <x:c r="H7" s="58" t="n">
        <x:f>('RESUMO_ANUAL'!$E$8+G7-'DIVIDA_PRO_FORMA'!$E$16-'DIVIDA_PRO_FORMA'!$E$17-'DIVIDA_PRO_FORMA'!$E$18*(1+E7))/'DIVIDA_PRO_FORMA'!$E$20</x:f>
        <x:v>1.9790995515933332</x:v>
      </x:c>
    </x:row>
    <x:row r="8">
      <x:c r="A8" t="str">
        <x:v>Upside</x:v>
      </x:c>
      <x:c r="B8" s="64" t="n">
        <x:v>0</x:v>
      </x:c>
      <x:c r="C8" s="40" t="n">
        <x:v>0.05</x:v>
      </x:c>
      <x:c r="D8" s="40" t="n">
        <x:v>0.01</x:v>
      </x:c>
      <x:c r="E8" s="40" t="n">
        <x:v>-0.03</x:v>
      </x:c>
      <x:c r="F8" s="24" t="n">
        <x:f>'RESUMO_ANUAL'!$E$11*(1+C8)*IF(B8=0,1,0.62)</x:f>
        <x:v>89.992875</x:v>
      </x:c>
      <x:c r="G8" s="24" t="n">
        <x:f>MAX(-5,F8*('RESUMO_ANUAL'!$E$13+D8))</x:f>
        <x:v>12.829680482499999</x:v>
      </x:c>
      <x:c r="H8" s="58" t="n">
        <x:f>('RESUMO_ANUAL'!$E$8+G8-'DIVIDA_PRO_FORMA'!$E$16-'DIVIDA_PRO_FORMA'!$E$17-'DIVIDA_PRO_FORMA'!$E$18*(1+E8))/'DIVIDA_PRO_FORMA'!$E$20</x:f>
        <x:v>2.4551245989999995</x:v>
      </x:c>
    </x:row>
    <x:row r="11">
      <x:c r="A11" s="61" t="str">
        <x:v>O cenário downside combina seis meses de atraso, receita 15% menor, margem 2 p.p. abaixo e capex 10% maior. Ele serve como teste de proteção; não é a expectativa da administração.</x:v>
      </x:c>
      <x:c r="B11" s="61" t="str">
        <x:v>O cenário downside combina seis meses de atraso, receita 15% menor, margem 2 p.p. abaixo e capex 10% maior. Ele serve como teste de proteção; não é a expectativa da administração.</x:v>
      </x:c>
      <x:c r="C11" s="61" t="str">
        <x:v>O cenário downside combina seis meses de atraso, receita 15% menor, margem 2 p.p. abaixo e capex 10% maior. Ele serve como teste de proteção; não é a expectativa da administração.</x:v>
      </x:c>
      <x:c r="D11" s="61" t="str">
        <x:v>O cenário downside combina seis meses de atraso, receita 15% menor, margem 2 p.p. abaixo e capex 10% maior. Ele serve como teste de proteção; não é a expectativa da administração.</x:v>
      </x:c>
      <x:c r="E11" s="61" t="str">
        <x:v>O cenário downside combina seis meses de atraso, receita 15% menor, margem 2 p.p. abaixo e capex 10% maior. Ele serve como teste de proteção; não é a expectativa da administração.</x:v>
      </x:c>
      <x:c r="F11" s="61" t="str">
        <x:v>O cenário downside combina seis meses de atraso, receita 15% menor, margem 2 p.p. abaixo e capex 10% maior. Ele serve como teste de proteção; não é a expectativa da administração.</x:v>
      </x:c>
      <x:c r="G11" s="61" t="str">
        <x:v>O cenário downside combina seis meses de atraso, receita 15% menor, margem 2 p.p. abaixo e capex 10% maior. Ele serve como teste de proteção; não é a expectativa da administração.</x:v>
      </x:c>
      <x:c r="H11" s="61" t="str">
        <x:v>O cenário downside combina seis meses de atraso, receita 15% menor, margem 2 p.p. abaixo e capex 10% maior. Ele serve como teste de proteção; não é a expectativa da administração.</x:v>
      </x:c>
    </x:row>
    <x:row r="12">
      <x:c r="A12" s="61" t="str">
        <x:v>O cenário downside combina seis meses de atraso, receita 15% menor, margem 2 p.p. abaixo e capex 10% maior. Ele serve como teste de proteção; não é a expectativa da administração.</x:v>
      </x:c>
      <x:c r="B12" s="61" t="str">
        <x:v>O cenário downside combina seis meses de atraso, receita 15% menor, margem 2 p.p. abaixo e capex 10% maior. Ele serve como teste de proteção; não é a expectativa da administração.</x:v>
      </x:c>
      <x:c r="C12" s="61" t="str">
        <x:v>O cenário downside combina seis meses de atraso, receita 15% menor, margem 2 p.p. abaixo e capex 10% maior. Ele serve como teste de proteção; não é a expectativa da administração.</x:v>
      </x:c>
      <x:c r="D12" s="61" t="str">
        <x:v>O cenário downside combina seis meses de atraso, receita 15% menor, margem 2 p.p. abaixo e capex 10% maior. Ele serve como teste de proteção; não é a expectativa da administração.</x:v>
      </x:c>
      <x:c r="E12" s="61" t="str">
        <x:v>O cenário downside combina seis meses de atraso, receita 15% menor, margem 2 p.p. abaixo e capex 10% maior. Ele serve como teste de proteção; não é a expectativa da administração.</x:v>
      </x:c>
      <x:c r="F12" s="61" t="str">
        <x:v>O cenário downside combina seis meses de atraso, receita 15% menor, margem 2 p.p. abaixo e capex 10% maior. Ele serve como teste de proteção; não é a expectativa da administração.</x:v>
      </x:c>
      <x:c r="G12" s="61" t="str">
        <x:v>O cenário downside combina seis meses de atraso, receita 15% menor, margem 2 p.p. abaixo e capex 10% maior. Ele serve como teste de proteção; não é a expectativa da administração.</x:v>
      </x:c>
      <x:c r="H12" s="61" t="str">
        <x:v>O cenário downside combina seis meses de atraso, receita 15% menor, margem 2 p.p. abaixo e capex 10% maior. Ele serve como teste de proteção; não é a expectativa da administração.</x:v>
      </x:c>
    </x:row>
    <x:row r="13">
      <x:c r="A13" s="61" t="str">
        <x:v>O cenário downside combina seis meses de atraso, receita 15% menor, margem 2 p.p. abaixo e capex 10% maior. Ele serve como teste de proteção; não é a expectativa da administração.</x:v>
      </x:c>
      <x:c r="B13" s="61" t="str">
        <x:v>O cenário downside combina seis meses de atraso, receita 15% menor, margem 2 p.p. abaixo e capex 10% maior. Ele serve como teste de proteção; não é a expectativa da administração.</x:v>
      </x:c>
      <x:c r="C13" s="61" t="str">
        <x:v>O cenário downside combina seis meses de atraso, receita 15% menor, margem 2 p.p. abaixo e capex 10% maior. Ele serve como teste de proteção; não é a expectativa da administração.</x:v>
      </x:c>
      <x:c r="D13" s="61" t="str">
        <x:v>O cenário downside combina seis meses de atraso, receita 15% menor, margem 2 p.p. abaixo e capex 10% maior. Ele serve como teste de proteção; não é a expectativa da administração.</x:v>
      </x:c>
      <x:c r="E13" s="61" t="str">
        <x:v>O cenário downside combina seis meses de atraso, receita 15% menor, margem 2 p.p. abaixo e capex 10% maior. Ele serve como teste de proteção; não é a expectativa da administração.</x:v>
      </x:c>
      <x:c r="F13" s="61" t="str">
        <x:v>O cenário downside combina seis meses de atraso, receita 15% menor, margem 2 p.p. abaixo e capex 10% maior. Ele serve como teste de proteção; não é a expectativa da administração.</x:v>
      </x:c>
      <x:c r="G13" s="61" t="str">
        <x:v>O cenário downside combina seis meses de atraso, receita 15% menor, margem 2 p.p. abaixo e capex 10% maior. Ele serve como teste de proteção; não é a expectativa da administração.</x:v>
      </x:c>
      <x:c r="H13" s="61" t="str">
        <x:v>O cenário downside combina seis meses de atraso, receita 15% menor, margem 2 p.p. abaixo e capex 10% maior. Ele serve como teste de proteção; não é a expectativa da administração.</x:v>
      </x:c>
    </x:row>
  </x:sheetData>
  <x:mergeCells>
    <x:mergeCell ref="A1:H1"/>
    <x:mergeCell ref="A2:H2"/>
    <x:mergeCell ref="A11:H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28" hidden="0" customWidth="1"/>
  </x:cols>
  <x:sheetData>
    <x:row r="1" ht="30" customHeight="1">
      <x:c r="A1" s="3" t="str">
        <x:v>CHECKS DO MODELO</x:v>
      </x:c>
      <x:c r="B1" s="3" t="str">
        <x:v>CHECKS DO MODELO</x:v>
      </x:c>
      <x:c r="C1" s="3" t="str">
        <x:v>CHECKS DO MODELO</x:v>
      </x:c>
      <x:c r="D1" s="3" t="str">
        <x:v>CHECKS DO MODELO</x:v>
      </x:c>
      <x:c r="E1" s="3" t="str">
        <x:v>CHECKS DO MODELO</x:v>
      </x:c>
      <x:c r="F1" s="3" t="str">
        <x:v>CHECKS DO MODELO</x:v>
      </x:c>
      <x:c r="G1" s="3" t="str">
        <x:v>CHECKS DO MODELO</x:v>
      </x:c>
    </x:row>
    <x:row r="2" ht="28" customHeight="1">
      <x:c r="A2" s="7" t="str">
        <x:v>Um check por linha; status geral deve permanecer OK</x:v>
      </x:c>
      <x:c r="B2" s="7" t="str">
        <x:v>Um check por linha; status geral deve permanecer OK</x:v>
      </x:c>
      <x:c r="C2" s="7" t="str">
        <x:v>Um check por linha; status geral deve permanecer OK</x:v>
      </x:c>
      <x:c r="D2" s="7" t="str">
        <x:v>Um check por linha; status geral deve permanecer OK</x:v>
      </x:c>
      <x:c r="E2" s="7" t="str">
        <x:v>Um check por linha; status geral deve permanecer OK</x:v>
      </x:c>
      <x:c r="F2" s="7" t="str">
        <x:v>Um check por linha; status geral deve permanecer OK</x:v>
      </x:c>
      <x:c r="G2" s="7" t="str">
        <x:v>Um check por linha; status geral deve permanecer OK</x:v>
      </x:c>
    </x:row>
    <x:row r="5">
      <x:c r="A5" s="33" t="str">
        <x:v>Check</x:v>
      </x:c>
      <x:c r="B5" s="33" t="str">
        <x:v>Atual</x:v>
      </x:c>
      <x:c r="C5" s="33" t="str">
        <x:v>Esperado</x:v>
      </x:c>
      <x:c r="D5" s="33" t="str">
        <x:v>Diferença</x:v>
      </x:c>
      <x:c r="E5" s="33" t="str">
        <x:v>Tolerância</x:v>
      </x:c>
      <x:c r="F5" s="33" t="str">
        <x:v>Status</x:v>
      </x:c>
      <x:c r="G5" s="33" t="str">
        <x:v>Onde revisar</x:v>
      </x:c>
    </x:row>
    <x:row r="6">
      <x:c r="A6" t="str">
        <x:v>Investimento total</x:v>
      </x:c>
      <x:c r="B6" s="19" t="n">
        <x:f>'LOJAS'!$M$10</x:f>
        <x:v>48.99999999999999</x:v>
      </x:c>
      <x:c r="C6" s="19" t="n">
        <x:v>49</x:v>
      </x:c>
      <x:c r="D6" s="19" t="n">
        <x:f>IF(A6="DSCR base mínimo",B6-C6,B6-C6)</x:f>
        <x:v>-7.105427357601002e-15</x:v>
      </x:c>
      <x:c r="E6" s="19" t="n">
        <x:v>0.01</x:v>
      </x:c>
      <x:c r="F6" t="str">
        <x:f>IF(ABS(D6)&lt;=E6,"OK","REVISAR")</x:f>
        <x:v>OK</x:v>
      </x:c>
      <x:c r="G6" t="str">
        <x:v>LOJAS</x:v>
      </x:c>
    </x:row>
    <x:row r="7">
      <x:c r="A7" t="str">
        <x:v>Fontes = usos</x:v>
      </x:c>
      <x:c r="B7" s="19" t="n">
        <x:f>'FONTES_E_USOS'!$B$10-'FONTES_E_USOS'!$E$10</x:f>
        <x:v>0</x:v>
      </x:c>
      <x:c r="C7" s="19" t="n">
        <x:v>0</x:v>
      </x:c>
      <x:c r="D7" s="19" t="n">
        <x:f>IF(A7="DSCR base mínimo",B7-C7,B7-C7)</x:f>
        <x:v>0</x:v>
      </x:c>
      <x:c r="E7" s="19" t="n">
        <x:v>0.01</x:v>
      </x:c>
      <x:c r="F7" t="str">
        <x:f>IF(ABS(D7)&lt;=E7,"OK","REVISAR")</x:f>
        <x:v>OK</x:v>
      </x:c>
      <x:c r="G7" t="str">
        <x:v>FONTES_E_USOS</x:v>
      </x:c>
    </x:row>
    <x:row r="8">
      <x:c r="A8" t="str">
        <x:v>Nova dívida = 35 expansão + 19 refi</x:v>
      </x:c>
      <x:c r="B8" s="19" t="n">
        <x:f>'FONTES_E_USOS'!$E$6+'FONTES_E_USOS'!$E$7</x:f>
        <x:v>54</x:v>
      </x:c>
      <x:c r="C8" s="19" t="n">
        <x:v>54</x:v>
      </x:c>
      <x:c r="D8" s="19" t="n">
        <x:f>IF(A8="DSCR base mínimo",B8-C8,B8-C8)</x:f>
        <x:v>0</x:v>
      </x:c>
      <x:c r="E8" s="19" t="n">
        <x:v>0.01</x:v>
      </x:c>
      <x:c r="F8" t="str">
        <x:f>IF(ABS(D8)&lt;=E8,"OK","REVISAR")</x:f>
        <x:v>OK</x:v>
      </x:c>
      <x:c r="G8" t="str">
        <x:v>FONTES_E_USOS</x:v>
      </x:c>
    </x:row>
    <x:row r="9">
      <x:c r="A9" t="str">
        <x:v>Dívida pro forma 2026</x:v>
      </x:c>
      <x:c r="B9" s="19" t="n">
        <x:f>'DIVIDA_PRO_FORMA'!$C$14</x:f>
        <x:v>103</x:v>
      </x:c>
      <x:c r="C9" s="19" t="n">
        <x:v>103</x:v>
      </x:c>
      <x:c r="D9" s="19" t="n">
        <x:f>IF(A9="DSCR base mínimo",B9-C9,B9-C9)</x:f>
        <x:v>0</x:v>
      </x:c>
      <x:c r="E9" s="19" t="n">
        <x:v>0.01</x:v>
      </x:c>
      <x:c r="F9" t="str">
        <x:f>IF(ABS(D9)&lt;=E9,"OK","REVISAR")</x:f>
        <x:v>OK</x:v>
      </x:c>
      <x:c r="G9" t="str">
        <x:v>DIVIDA_PRO_FORMA</x:v>
      </x:c>
    </x:row>
    <x:row r="10">
      <x:c r="A10" t="str">
        <x:v>DSCR base mínimo</x:v>
      </x:c>
      <x:c r="B10" s="57" t="n">
        <x:f>MIN('RESUMO_ANUAL'!$D$24:$G$24)</x:f>
        <x:v>1.4521145676628486</x:v>
      </x:c>
      <x:c r="C10" s="57" t="n">
        <x:v>1.35</x:v>
      </x:c>
      <x:c r="D10" s="57" t="n">
        <x:f>IF(A10="DSCR base mínimo",B10-C10,B10-C10)</x:f>
        <x:v>0.10211456766284854</x:v>
      </x:c>
      <x:c r="E10" s="57" t="n">
        <x:v>0</x:v>
      </x:c>
      <x:c r="F10" t="str">
        <x:f>IF(B10&gt;=C10,"OK","REVISAR")</x:f>
        <x:v>OK</x:v>
      </x:c>
      <x:c r="G10" t="str">
        <x:v>RESUMO_ANUAL</x:v>
      </x:c>
    </x:row>
  </x:sheetData>
  <x:mergeCells>
    <x:mergeCell ref="A1:G1"/>
    <x:mergeCell ref="A2:G2"/>
  </x:mergeCells>
  <x:conditionalFormatting sqref="F6:F10">
    <x:cfRule type="containsText" dxfId="0" priority="1" operator="containsText" text="OK"/>
    <x:cfRule type="containsText" dxfId="1" priority="2" operator="containsText" text="REVISAR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  <x:col min="6" max="6" width="30" hidden="0" customWidth="1"/>
    <x:col min="7" max="7" width="24" hidden="0" customWidth="1"/>
    <x:col min="8" max="8" width="18" hidden="0" customWidth="1"/>
    <x:col min="9" max="9" width="38" hidden="0" customWidth="1"/>
  </x:cols>
  <x:sheetData>
    <x:row r="1" ht="30" customHeight="1">
      <x:c r="A1" s="3" t="str">
        <x:v>FONTES E TRILHA DE AUDITORIA</x:v>
      </x:c>
      <x:c r="B1" s="3" t="str">
        <x:v>FONTES E TRILHA DE AUDITORIA</x:v>
      </x:c>
      <x:c r="C1" s="3" t="str">
        <x:v>FONTES E TRILHA DE AUDITORIA</x:v>
      </x:c>
      <x:c r="D1" s="3" t="str">
        <x:v>FONTES E TRILHA DE AUDITORIA</x:v>
      </x:c>
      <x:c r="E1" s="3" t="str">
        <x:v>FONTES E TRILHA DE AUDITORIA</x:v>
      </x:c>
      <x:c r="F1" s="3" t="str">
        <x:v>FONTES E TRILHA DE AUDITORIA</x:v>
      </x:c>
      <x:c r="G1" s="3" t="str">
        <x:v>FONTES E TRILHA DE AUDITORIA</x:v>
      </x:c>
      <x:c r="H1" s="3" t="str">
        <x:v>FONTES E TRILHA DE AUDITORIA</x:v>
      </x:c>
      <x:c r="I1" s="3" t="str">
        <x:v>FONTES E TRILHA DE AUDITORIA</x:v>
      </x:c>
    </x:row>
    <x:row r="2" ht="28" customHeight="1">
      <x:c r="A2" s="7" t="str">
        <x:v>Origem das premissas usadas no business plan</x:v>
      </x:c>
      <x:c r="B2" s="7" t="str">
        <x:v>Origem das premissas usadas no business plan</x:v>
      </x:c>
      <x:c r="C2" s="7" t="str">
        <x:v>Origem das premissas usadas no business plan</x:v>
      </x:c>
      <x:c r="D2" s="7" t="str">
        <x:v>Origem das premissas usadas no business plan</x:v>
      </x:c>
      <x:c r="E2" s="7" t="str">
        <x:v>Origem das premissas usadas no business plan</x:v>
      </x:c>
      <x:c r="F2" s="7" t="str">
        <x:v>Origem das premissas usadas no business plan</x:v>
      </x:c>
      <x:c r="G2" s="7" t="str">
        <x:v>Origem das premissas usadas no business plan</x:v>
      </x:c>
      <x:c r="H2" s="7" t="str">
        <x:v>Origem das premissas usadas no business plan</x:v>
      </x:c>
      <x:c r="I2" s="7" t="str">
        <x:v>Origem das premissas usadas no business plan</x:v>
      </x:c>
    </x:row>
    <x:row r="5">
      <x:c r="A5" s="33" t="str">
        <x:v>Item</x:v>
      </x:c>
      <x:c r="B5" s="33" t="str">
        <x:v>Valor</x:v>
      </x:c>
      <x:c r="C5" s="33" t="str">
        <x:v>Unidade</x:v>
      </x:c>
      <x:c r="D5" s="33" t="str">
        <x:v>Período/data-base</x:v>
      </x:c>
      <x:c r="E5" s="33" t="str">
        <x:v>Tipo</x:v>
      </x:c>
      <x:c r="F5" s="33" t="str">
        <x:v>Documento/arquivo</x:v>
      </x:c>
      <x:c r="G5" s="33" t="str">
        <x:v>Referência</x:v>
      </x:c>
      <x:c r="H5" s="33" t="str">
        <x:v>Owner</x:v>
      </x:c>
      <x:c r="I5" s="33" t="str">
        <x:v>Nota</x:v>
      </x:c>
    </x:row>
    <x:row r="6">
      <x:c r="A6" s="51" t="str">
        <x:v>Receita e EBITDA históricos</x:v>
      </x:c>
      <x:c r="B6" s="51" t="str">
        <x:v>2023-2025</x:v>
      </x:c>
      <x:c r="C6" s="51" t="str">
        <x:v>R$ mm</x:v>
      </x:c>
      <x:c r="D6" s="51" t="str">
        <x:v>31/12/2025</x:v>
      </x:c>
      <x:c r="E6" s="51" t="str">
        <x:v>Demonstrações</x:v>
      </x:c>
      <x:c r="F6" s="51" t="str">
        <x:v>Demonstrações auditadas</x:v>
      </x:c>
      <x:c r="G6" s="51" t="str">
        <x:v>DRE</x:v>
      </x:c>
      <x:c r="H6" s="51" t="str">
        <x:v>Controladoria</x:v>
      </x:c>
      <x:c r="I6" s="51" t="str">
        <x:v>Auditado</x:v>
      </x:c>
    </x:row>
    <x:row r="7">
      <x:c r="A7" s="51" t="str">
        <x:v>Balancete e DRE mensal</x:v>
      </x:c>
      <x:c r="B7" s="51" t="str">
        <x:v>2024-jul/2026</x:v>
      </x:c>
      <x:c r="C7" s="51" t="str">
        <x:v>R$ mm</x:v>
      </x:c>
      <x:c r="D7" s="51" t="str">
        <x:v>31/07/2026</x:v>
      </x:c>
      <x:c r="E7" s="51" t="str">
        <x:v>Exportação ERP</x:v>
      </x:c>
      <x:c r="F7" s="51" t="str">
        <x:v>Exportação contábil</x:v>
      </x:c>
      <x:c r="G7" s="51" t="str">
        <x:v>DRE_MENSAL_LONG</x:v>
      </x:c>
      <x:c r="H7" s="51" t="str">
        <x:v>Controladoria</x:v>
      </x:c>
      <x:c r="I7" s="51" t="str">
        <x:v>Jul/2026 não auditado</x:v>
      </x:c>
    </x:row>
    <x:row r="8">
      <x:c r="A8" s="51" t="str">
        <x:v>Dívida bruta</x:v>
      </x:c>
      <x:c r="B8" s="65" t="n">
        <x:v>68</x:v>
      </x:c>
      <x:c r="C8" s="51" t="str">
        <x:v>R$ mm</x:v>
      </x:c>
      <x:c r="D8" s="51" t="str">
        <x:v>31/07/2026</x:v>
      </x:c>
      <x:c r="E8" s="51" t="str">
        <x:v>Tesouraria</x:v>
      </x:c>
      <x:c r="F8" s="51" t="str">
        <x:v>Mapa de dívida e garantias</x:v>
      </x:c>
      <x:c r="G8" s="51" t="str">
        <x:v>CONTRATOS_DIVIDA</x:v>
      </x:c>
      <x:c r="H8" s="51" t="str">
        <x:v>Tesouraria</x:v>
      </x:c>
      <x:c r="I8" s="51" t="str">
        <x:v>Saldos sujeitos a cartas de saldo</x:v>
      </x:c>
    </x:row>
    <x:row r="9">
      <x:c r="A9" s="51" t="str">
        <x:v>Capex do projeto</x:v>
      </x:c>
      <x:c r="B9" s="65" t="n">
        <x:v>49</x:v>
      </x:c>
      <x:c r="C9" s="51" t="str">
        <x:v>R$ mm</x:v>
      </x:c>
      <x:c r="D9" s="51" t="str">
        <x:v>14/08/2026</x:v>
      </x:c>
      <x:c r="E9" s="51" t="str">
        <x:v>Orçamento interno</x:v>
      </x:c>
      <x:c r="F9" s="51" t="str">
        <x:v>Business plan</x:v>
      </x:c>
      <x:c r="G9" s="51" t="str">
        <x:v>LOJAS</x:v>
      </x:c>
      <x:c r="H9" s="51" t="str">
        <x:v>Expansão</x:v>
      </x:c>
      <x:c r="I9" s="51" t="str">
        <x:v>Propostas não vinculantes</x:v>
      </x:c>
    </x:row>
    <x:row r="10">
      <x:c r="A10" s="51" t="str">
        <x:v>Receita estabilizada</x:v>
      </x:c>
      <x:c r="B10" s="65" t="n">
        <x:v>94</x:v>
      </x:c>
      <x:c r="C10" s="51" t="str">
        <x:v>R$ mm</x:v>
      </x:c>
      <x:c r="D10" s="51" t="str">
        <x:v>2030E</x:v>
      </x:c>
      <x:c r="E10" s="51" t="str">
        <x:v>Premissa</x:v>
      </x:c>
      <x:c r="F10" s="51" t="str">
        <x:v>Estudos comerciais</x:v>
      </x:c>
      <x:c r="G10" s="51" t="str">
        <x:v>LOJAS</x:v>
      </x:c>
      <x:c r="H10" s="51" t="str">
        <x:v>Comercial</x:v>
      </x:c>
      <x:c r="I10" s="51" t="str">
        <x:v>Sem contratos de venda</x:v>
      </x:c>
    </x:row>
    <x:row r="11">
      <x:c r="A11" s="51" t="str">
        <x:v>Borrowing base</x:v>
      </x:c>
      <x:c r="B11" s="65" t="n">
        <x:v>53.76</x:v>
      </x:c>
      <x:c r="C11" s="51" t="str">
        <x:v>R$ mm</x:v>
      </x:c>
      <x:c r="D11" s="51" t="str">
        <x:v>31/07/2026</x:v>
      </x:c>
      <x:c r="E11" s="51" t="str">
        <x:v>Cálculo preliminar</x:v>
      </x:c>
      <x:c r="F11" s="51" t="str">
        <x:v>Mapa de dívida e garantias</x:v>
      </x:c>
      <x:c r="G11" s="51" t="str">
        <x:v>RESUMO_TESOURARIA</x:v>
      </x:c>
      <x:c r="H11" s="51" t="str">
        <x:v>Tesouraria</x:v>
      </x:c>
      <x:c r="I11" s="51" t="str">
        <x:v>Sujeito a avaliação e elegibilidade</x:v>
      </x:c>
    </x:row>
  </x:sheetData>
  <x:mergeCells>
    <x:mergeCell ref="A1:I1"/>
    <x:mergeCell ref="A2:I2"/>
  </x:mergeCells>
  <x:pageMargins left="0.7" right="0.7" top="0.75" bottom="0.75" header="0.3" footer="0.3"/>
</x:worksheet>
</file>