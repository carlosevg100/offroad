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976df5ddb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d840c61147094fe6"/>
    <x:sheet xmlns:r="http://schemas.openxmlformats.org/officeDocument/2006/relationships" name="Premissas" sheetId="2" r:id="R205ed0ca5d474f9b"/>
    <x:sheet xmlns:r="http://schemas.openxmlformats.org/officeDocument/2006/relationships" name="Modelo" sheetId="3" r:id="R6478309d99fd4338"/>
    <x:sheet xmlns:r="http://schemas.openxmlformats.org/officeDocument/2006/relationships" name="Divida" sheetId="4" r:id="R645806b511154100"/>
    <x:sheet xmlns:r="http://schemas.openxmlformats.org/officeDocument/2006/relationships" name="Alternativas" sheetId="5" r:id="Rc2601dd9ba284222"/>
    <x:sheet xmlns:r="http://schemas.openxmlformats.org/officeDocument/2006/relationships" name="Fontes" sheetId="6" r:id="Rfc95d44adf9441bd"/>
    <x:sheet xmlns:r="http://schemas.openxmlformats.org/officeDocument/2006/relationships" name="Checks" sheetId="7" r:id="R7c250db12f6c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-"/>
    <x:numFmt numFmtId="201" formatCode="#,##0;[Red](#,##0);-"/>
    <x:numFmt numFmtId="202" formatCode="0.00x;[Red](0.00x);-"/>
    <x:numFmt numFmtId="203" formatCode="0.000"/>
  </x:numFmts>
  <x:fonts count="13">
    <x:font>
      <x:sz val="11"/>
      <x:name val="Carlito"/>
    </x:font>
    <x:font>
      <x:sz val="10"/>
      <x:color rgb="FF111820"/>
      <x:name val="Arial"/>
    </x:font>
    <x:font>
      <x:b/>
      <x:sz val="22"/>
      <x:color rgb="FFFFFFFF"/>
      <x:name val="Georgia"/>
    </x:font>
    <x:font>
      <x:sz val="9"/>
      <x:color rgb="FFCAD0D6"/>
      <x:name val="Arial"/>
    </x:font>
    <x:font>
      <x:sz val="10"/>
      <x:color rgb="FF1F5A94"/>
      <x:name val="Arial"/>
    </x:font>
    <x:font>
      <x:b/>
      <x:sz val="9"/>
      <x:color rgb="FFFFFFFF"/>
      <x:name val="Arial"/>
    </x:font>
    <x:font>
      <x:b/>
      <x:sz val="11"/>
      <x:color rgb="FF0E1824"/>
      <x:name val="Arial"/>
    </x:font>
    <x:font>
      <x:b/>
      <x:sz val="11"/>
      <x:color rgb="FF7D9455"/>
      <x:name val="Arial"/>
    </x:font>
    <x:font>
      <x:b/>
      <x:sz val="11"/>
      <x:name val="Arial"/>
    </x:font>
    <x:font>
      <x:b/>
      <x:sz val="10"/>
      <x:color rgb="FF0E1824"/>
      <x:name val="Arial"/>
    </x:font>
    <x:font>
      <x:sz val="11"/>
      <x:color rgb="FF1F5A94"/>
      <x:name val="Arial"/>
    </x:font>
    <x:font>
      <x:sz val="11"/>
      <x:color rgb="FF111820"/>
      <x:name val="Arial"/>
    </x:font>
    <x:font>
      <x:b/>
      <x:sz val="16"/>
      <x:color rgb="FF0E1824"/>
      <x:name val="Georgia"/>
    </x:font>
  </x:fonts>
  <x:fills count="6">
    <x:fill>
      <x:patternFill patternType="none"/>
    </x:fill>
    <x:fill>
      <x:patternFill patternType="gray125"/>
    </x:fill>
    <x:fill>
      <x:patternFill patternType="solid">
        <x:fgColor rgb="FF0E1824"/>
      </x:patternFill>
    </x:fill>
    <x:fill>
      <x:patternFill patternType="solid">
        <x:fgColor rgb="FFEAF2FA"/>
      </x:patternFill>
    </x:fill>
    <x:fill>
      <x:patternFill patternType="solid">
        <x:fgColor rgb="FFFAFAF8"/>
      </x:patternFill>
    </x:fill>
    <x:fill>
      <x:patternFill patternType="solid">
        <x:fgColor rgb="FFEEF2E8"/>
      </x:patternFill>
    </x:fill>
  </x:fills>
  <x:borders count="5">
    <x:border/>
    <x:border>
      <x:left style="thin">
        <x:color rgb="FFC8D8E8"/>
      </x:left>
      <x:right style="thin">
        <x:color rgb="FFC8D8E8"/>
      </x:right>
      <x:top style="thin">
        <x:color rgb="FFC8D8E8"/>
      </x:top>
      <x:bottom style="thin">
        <x:color rgb="FFC8D8E8"/>
      </x:bottom>
    </x:border>
    <x:border>
      <x:left style="thin">
        <x:color rgb="FFDADDD8"/>
      </x:left>
      <x:right style="thin">
        <x:color rgb="FFDADDD8"/>
      </x:right>
      <x:top style="thin">
        <x:color rgb="FFDADDD8"/>
      </x:top>
      <x:bottom style="thin">
        <x:color rgb="FFDADDD8"/>
      </x:bottom>
    </x:border>
    <x:border>
      <x:bottom style="thin">
        <x:color rgb="FF7D9455"/>
      </x:bottom>
    </x:border>
    <x:border>
      <x:left style="thick">
        <x:color rgb="FF7D9455"/>
      </x:left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/>
    <x:xf numFmtId="200" fontId="4" fillId="3" borderId="1" xfId="0" applyNumberFormat="1" applyFont="1" applyFill="1" applyBorder="1"/>
    <x:xf numFmtId="0" fontId="0" fillId="0" borderId="2" xfId="0" applyNumberFormat="1" applyFont="1" applyFill="1" applyBorder="1"/>
    <x:xf numFmtId="200" fontId="1" fillId="0" borderId="2" xfId="0" applyNumberFormat="1" applyFont="1" applyFill="1" applyBorder="1"/>
    <x:xf numFmtId="200" fontId="4" fillId="3" borderId="2" xfId="0" applyNumberFormat="1" applyFont="1" applyFill="1" applyBorder="1"/>
    <x:xf numFmtId="0" fontId="0" fillId="4" borderId="2" xfId="0" applyNumberFormat="1" applyFont="1" applyFill="1" applyBorder="1"/>
    <x:xf numFmtId="0" fontId="6" fillId="4" borderId="2" xfId="0" applyNumberFormat="1" applyFont="1" applyFill="1" applyBorder="1"/>
    <x:xf numFmtId="0" fontId="6" fillId="4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/>
    <x:xf numFmtId="201" fontId="1" fillId="0" borderId="0" xfId="0" applyNumberFormat="1" applyFont="1" applyFill="1" applyBorder="1"/>
    <x:xf numFmtId="201" fontId="4" fillId="3" borderId="1" xfId="0" applyNumberFormat="1" applyFont="1" applyFill="1" applyBorder="1"/>
    <x:xf numFmtId="201" fontId="1" fillId="0" borderId="2" xfId="0" applyNumberFormat="1" applyFont="1" applyFill="1" applyBorder="1"/>
    <x:xf numFmtId="201" fontId="4" fillId="3" borderId="2" xfId="0" applyNumberFormat="1" applyFont="1" applyFill="1" applyBorder="1"/>
    <x:xf numFmtId="0" fontId="8" fillId="0" borderId="2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1" fontId="10" fillId="0" borderId="2" xfId="0" applyNumberFormat="1" applyFont="1" applyFill="1" applyBorder="1" applyAlignment="1">
      <x:alignment wrapText="1"/>
    </x:xf>
    <x:xf numFmtId="200" fontId="11" fillId="0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0" borderId="2" xfId="0" applyNumberFormat="1" applyFont="1" applyFill="1" applyBorder="1"/>
    <x:xf numFmtId="201" fontId="6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6" fillId="0" borderId="2" xfId="0" applyNumberFormat="1" applyFont="1" applyFill="1" applyBorder="1"/>
    <x:xf numFmtId="0" fontId="6" fillId="5" borderId="2" xfId="0" applyNumberFormat="1" applyFont="1" applyFill="1" applyBorder="1"/>
    <x:xf numFmtId="201" fontId="6" fillId="5" borderId="2" xfId="0" applyNumberFormat="1" applyFont="1" applyFill="1" applyBorder="1"/>
    <x:xf numFmtId="0" fontId="12" fillId="5" borderId="0" xfId="0" applyNumberFormat="1" applyFont="1" applyFill="1" applyBorder="1"/>
    <x:xf numFmtId="0" fontId="12" fillId="5" borderId="4" xfId="0" applyNumberFormat="1" applyFont="1" applyFill="1" applyBorder="1"/>
    <x:xf numFmtId="0" fontId="12" fillId="5" borderId="4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wrapText="1"/>
    </x:xf>
    <x:xf numFmtId="202" fontId="0" fillId="0" borderId="2" xfId="0" applyNumberFormat="1" applyFont="1" applyFill="1" applyBorder="1"/>
    <x:xf numFmtId="203" fontId="0" fillId="0" borderId="2" xfId="0" applyNumberFormat="1" applyFont="1" applyFill="1" applyBorder="1"/>
  </x:cellXfs>
  <x:cellStyles count="1">
    <x:cellStyle name="Normal" xfId="0"/>
  </x:cellStyles>
  <x:dxfs count="1">
    <x:dxf>
      <x:font>
        <x:b/>
        <x:color rgb="FF2E6B2E"/>
      </x:font>
      <x:fill>
        <x:patternFill patternType="solid">
          <x:bgColor rgb="FFE9F5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ccff7e64b4771" /><Relationship Type="http://schemas.openxmlformats.org/officeDocument/2006/relationships/theme" Target="/xl/theme/theme1.xml" Id="R830253e1d898439c" /><Relationship Type="http://schemas.openxmlformats.org/officeDocument/2006/relationships/sharedStrings" Target="/xl/sharedStrings.xml" Id="Rb8219f65463d49c0" /><Relationship Type="http://schemas.openxmlformats.org/officeDocument/2006/relationships/worksheet" Target="/xl/worksheets/sheet1.xml" Id="Rd840c61147094fe6" /><Relationship Type="http://schemas.openxmlformats.org/officeDocument/2006/relationships/worksheet" Target="/xl/worksheets/sheet2.xml" Id="R205ed0ca5d474f9b" /><Relationship Type="http://schemas.openxmlformats.org/officeDocument/2006/relationships/worksheet" Target="/xl/worksheets/sheet3.xml" Id="R6478309d99fd4338" /><Relationship Type="http://schemas.openxmlformats.org/officeDocument/2006/relationships/worksheet" Target="/xl/worksheets/sheet4.xml" Id="R645806b511154100" /><Relationship Type="http://schemas.openxmlformats.org/officeDocument/2006/relationships/worksheet" Target="/xl/worksheets/sheet5.xml" Id="Rc2601dd9ba284222" /><Relationship Type="http://schemas.openxmlformats.org/officeDocument/2006/relationships/worksheet" Target="/xl/worksheets/sheet6.xml" Id="Rfc95d44adf9441bd" /><Relationship Type="http://schemas.openxmlformats.org/officeDocument/2006/relationships/worksheet" Target="/xl/worksheets/sheet7.xml" Id="R7c250db12f6c43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D945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2" hidden="0" customWidth="1"/>
    <x:col min="2" max="2" width="16" hidden="0" customWidth="1"/>
    <x:col min="3" max="3" width="44" hidden="0" customWidth="1"/>
    <x:col min="4" max="4" width="4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8" customHeight="1">
      <x:c r="A1" s="5" t="str">
        <x:v>Estrutura de capital para discussão com o Conselho</x:v>
      </x:c>
      <x:c r="B1" s="5"/>
      <x:c r="C1" s="5"/>
      <x:c r="D1" s="5"/>
      <x:c r="E1" s="5"/>
      <x:c r="F1" s="5"/>
      <x:c r="G1" s="5"/>
      <x:c r="H1" s="5"/>
    </x:row>
    <x:row r="2" ht="26" customHeight="1">
      <x:c r="A2" s="8" t="str">
        <x:v>Camil Alimentos S.A. | data-base 2026-05-31 | mercado 2026-09-04 | R$ mil</x:v>
      </x:c>
      <x:c r="B2" s="8"/>
      <x:c r="C2" s="8"/>
      <x:c r="D2" s="8"/>
      <x:c r="E2" s="8"/>
      <x:c r="F2" s="8"/>
      <x:c r="G2" s="8"/>
      <x:c r="H2" s="8"/>
    </x:row>
    <x:row r="4">
      <x:c r="A4" s="53" t="str">
        <x:v>Mesmo com refinanciamento integral do principal, o cenário-base sintético perde o piso de caixa em 2027/28 e fica com caixa negativo em 2030/31. O custo e o perfil da nova dívida precisam entrar na decisão.</x:v>
      </x:c>
      <x:c r="B4" s="54"/>
      <x:c r="C4" s="54"/>
      <x:c r="D4" s="54"/>
      <x:c r="E4" s="54"/>
      <x:c r="F4" s="54"/>
      <x:c r="G4" s="54"/>
      <x:c r="H4" s="54"/>
    </x:row>
    <x:row r="5">
      <x:c r="A5" s="53"/>
      <x:c r="B5" s="54"/>
      <x:c r="C5" s="54"/>
      <x:c r="D5" s="54"/>
      <x:c r="E5" s="54"/>
      <x:c r="F5" s="54"/>
      <x:c r="G5" s="54"/>
      <x:c r="H5" s="54"/>
    </x:row>
    <x:row r="7">
      <x:c r="A7" s="15" t="str">
        <x:v>Indicador</x:v>
      </x:c>
      <x:c r="B7" s="15" t="str">
        <x:v>Atual</x:v>
      </x:c>
      <x:c r="C7" s="15" t="str">
        <x:v>2026/27</x:v>
      </x:c>
      <x:c r="D7" s="15" t="str">
        <x:v>2027/28</x:v>
      </x:c>
      <x:c r="E7" s="15" t="str">
        <x:v>2028/29</x:v>
      </x:c>
      <x:c r="F7" s="15" t="str">
        <x:v>2029/30</x:v>
      </x:c>
      <x:c r="G7" s="15" t="str">
        <x:v>2030/31</x:v>
      </x:c>
      <x:c r="H7" s="15" t="str">
        <x:v>Após 2031</x:v>
      </x:c>
    </x:row>
    <x:row r="8">
      <x:c r="A8" s="18" t="str">
        <x:v>Dívida bruta contratual</x:v>
      </x:c>
      <x:c r="B8" s="47" t="n">
        <x:v>5742510</x:v>
      </x:c>
      <x:c r="C8" s="47" t="n">
        <x:f>'Modelo'!B30</x:f>
        <x:v>5787534.1566</x:v>
      </x:c>
      <x:c r="D8" s="47" t="n">
        <x:f>'Modelo'!C30</x:f>
        <x:v>5832960.420520402</x:v>
      </x:c>
      <x:c r="E8" s="47" t="n">
        <x:f>'Modelo'!D30</x:f>
        <x:v>5880136.868591204</x:v>
      </x:c>
      <x:c r="F8" s="47" t="n">
        <x:f>'Modelo'!E30</x:f>
        <x:v>5929874.836035252</x:v>
      </x:c>
      <x:c r="G8" s="47" t="n">
        <x:f>'Modelo'!F30</x:f>
        <x:v>5982731.893329433</x:v>
      </x:c>
      <x:c r="H8" s="47" t="n">
        <x:f>'Modelo'!G30</x:f>
        <x:v>6017736.026468204</x:v>
      </x:c>
    </x:row>
    <x:row r="9">
      <x:c r="A9" s="18" t="str">
        <x:v>Caixa</x:v>
      </x:c>
      <x:c r="B9" s="47" t="n">
        <x:v>1430714</x:v>
      </x:c>
      <x:c r="C9" s="47" t="n">
        <x:f>'Modelo'!B24</x:f>
        <x:v>956560.829570197</x:v>
      </x:c>
      <x:c r="D9" s="47" t="n">
        <x:f>'Modelo'!C24</x:f>
        <x:v>660607.5522669819</x:v>
      </x:c>
      <x:c r="E9" s="47" t="n">
        <x:f>'Modelo'!D24</x:f>
        <x:v>341375.9822835303</x:v>
      </x:c>
      <x:c r="F9" s="47" t="n">
        <x:f>'Modelo'!E24</x:f>
        <x:v>17473.67930910713</x:v>
      </x:c>
      <x:c r="G9" s="47" t="n">
        <x:f>'Modelo'!F24</x:f>
        <x:v>-308694.48998820176</x:v>
      </x:c>
      <x:c r="H9" s="47" t="n">
        <x:f>'Modelo'!G24</x:f>
        <x:v>-665003.4701804782</x:v>
      </x:c>
    </x:row>
    <x:row r="10">
      <x:c r="A10" s="18" t="str">
        <x:v>Dívida líquida</x:v>
      </x:c>
      <x:c r="B10" s="47" t="n">
        <x:v>4228477</x:v>
      </x:c>
      <x:c r="C10" s="47" t="n">
        <x:f>'Modelo'!B31</x:f>
        <x:v>4830973.327029804</x:v>
      </x:c>
      <x:c r="D10" s="47" t="n">
        <x:f>'Modelo'!C31</x:f>
        <x:v>5172352.868253419</x:v>
      </x:c>
      <x:c r="E10" s="47" t="n">
        <x:f>'Modelo'!D31</x:f>
        <x:v>5538760.8863076735</x:v>
      </x:c>
      <x:c r="F10" s="47" t="n">
        <x:f>'Modelo'!E31</x:f>
        <x:v>5912401.156726144</x:v>
      </x:c>
      <x:c r="G10" s="47" t="n">
        <x:f>'Modelo'!F31</x:f>
        <x:v>6291426.383317634</x:v>
      </x:c>
      <x:c r="H10" s="47" t="n">
        <x:f>'Modelo'!G31</x:f>
        <x:v>6682739.496648682</x:v>
      </x:c>
    </x:row>
    <x:row r="11">
      <x:c r="A11" s="18" t="str">
        <x:v>Alavancagem líquida</x:v>
      </x:c>
      <x:c r="B11" s="55" t="n">
        <x:v>4.72</x:v>
      </x:c>
      <x:c r="C11" s="55" t="n">
        <x:f>'Modelo'!B32</x:f>
        <x:v>5.4037732057865835</x:v>
      </x:c>
      <x:c r="D11" s="55" t="n">
        <x:f>'Modelo'!C32</x:f>
        <x:v>5.6721857936011055</x:v>
      </x:c>
      <x:c r="E11" s="55" t="n">
        <x:f>'Modelo'!D32</x:f>
        <x:v>5.95490375988525</x:v>
      </x:c>
      <x:c r="F11" s="55" t="n">
        <x:f>'Modelo'!E32</x:f>
        <x:v>6.231977144636654</x:v>
      </x:c>
      <x:c r="G11" s="55" t="n">
        <x:f>'Modelo'!F32</x:f>
        <x:v>6.501460167660658</x:v>
      </x:c>
      <x:c r="H11" s="55" t="n">
        <x:f>'Modelo'!G32</x:f>
        <x:v>6.77042836087869</x:v>
      </x:c>
    </x:row>
    <x:row r="12">
      <x:c r="A12" s="18" t="str">
        <x:v>Cobertura de liquidez</x:v>
      </x:c>
      <x:c r="B12" s="55"/>
      <x:c r="C12" s="55" t="n">
        <x:f>'Modelo'!B27</x:f>
        <x:v>1.4571095711702644</x:v>
      </x:c>
      <x:c r="D12" s="55" t="n">
        <x:f>'Modelo'!C27</x:f>
        <x:v>1.3902368852301874</x:v>
      </x:c>
      <x:c r="E12" s="55" t="n">
        <x:f>'Modelo'!D27</x:f>
        <x:v>1.1566571368040877</x:v>
      </x:c>
      <x:c r="F12" s="55" t="n">
        <x:f>'Modelo'!E27</x:f>
        <x:v>1.0105076689980994</x:v>
      </x:c>
      <x:c r="G12" s="55" t="n">
        <x:f>'Modelo'!F27</x:f>
        <x:v>0.8508574891183961</x:v>
      </x:c>
      <x:c r="H12" s="55" t="n">
        <x:f>'Modelo'!G27</x:f>
        <x:v>0.6710556727464229</x:v>
      </x:c>
    </x:row>
    <x:row r="13">
      <x:c r="A13" s="18" t="str">
        <x:v>DSCR</x:v>
      </x:c>
      <x:c r="B13" s="55"/>
      <x:c r="C13" s="55" t="n">
        <x:f>'Modelo'!B28</x:f>
        <x:v>0.19767025939901173</x:v>
      </x:c>
      <x:c r="D13" s="55" t="n">
        <x:f>'Modelo'!C28</x:f>
        <x:v>0.4004315912806954</x:v>
      </x:c>
      <x:c r="E13" s="55" t="n">
        <x:f>'Modelo'!D28</x:f>
        <x:v>0.3112436671398645</x:v>
      </x:c>
      <x:c r="F13" s="55" t="n">
        <x:f>'Modelo'!E28</x:f>
        <x:v>0.42723523809872804</x:v>
      </x:c>
      <x:c r="G13" s="55" t="n">
        <x:f>'Modelo'!F28</x:f>
        <x:v>0.3440277742141952</x:v>
      </x:c>
      <x:c r="H13" s="55" t="n">
        <x:f>'Modelo'!G28</x:f>
        <x:v>0.36088846448364476</x:v>
      </x:c>
    </x:row>
    <x:row r="15">
      <x:c r="A15" s="15" t="str">
        <x:v>Alternativa</x:v>
      </x:c>
      <x:c r="B15" s="15" t="str">
        <x:v>Estado</x:v>
      </x:c>
      <x:c r="C15" s="15" t="str">
        <x:v>Pergunta para o Conselho</x:v>
      </x:c>
      <x:c r="D15" s="15" t="str">
        <x:v>Condição antes de avançar</x:v>
      </x:c>
    </x:row>
    <x:row r="16">
      <x:c r="A16" s="33" t="str">
        <x:v>Manter estrutura e rolar linhas</x:v>
      </x:c>
      <x:c r="B16" s="33" t="str">
        <x:v>Referência</x:v>
      </x:c>
      <x:c r="C16" s="33" t="str">
        <x:v>A companhia aceita depender de refinanciamento integral nos anos de menor folga?</x:v>
      </x:c>
      <x:c r="D16" s="33" t="str">
        <x:v>capacidade, preço e prazo de rolagem ainda não contratados</x:v>
      </x:c>
    </x:row>
    <x:row r="17">
      <x:c r="A17" s="33" t="str">
        <x:v>Alongar o pico de 2028/29</x:v>
      </x:c>
      <x:c r="B17" s="33" t="str">
        <x:v>Bloqueada</x:v>
      </x:c>
      <x:c r="C17" s="33" t="str">
        <x:v>A redução do pico compensa custo e flexibilidade da nova dívida?</x:v>
      </x:c>
      <x:c r="D17" s="33" t="str">
        <x:v>base de liquidação e custo de saída da 13ª 1ª série</x:v>
      </x:c>
    </x:row>
    <x:row r="18">
      <x:c r="A18" s="33" t="str">
        <x:v>Alongar os picos de 2028/29 e 2029/30</x:v>
      </x:c>
      <x:c r="B18" s="33" t="str">
        <x:v>Bloqueada</x:v>
      </x:c>
      <x:c r="C18" s="33" t="str">
        <x:v>Uma transação maior reduz risco de execução sem concentrar preço e covenants?</x:v>
      </x:c>
      <x:c r="D18" s="33" t="str">
        <x:v>bases de liquidação e custos de saída da 13ª 1ª e 14ª 1ª séries</x:v>
      </x:c>
    </x:row>
    <x:row r="19">
      <x:c r="A19" s="33" t="str">
        <x:v>Amortizar linhas com caixa</x:v>
      </x:c>
      <x:c r="B19" s="33" t="str">
        <x:v>Bloqueada</x:v>
      </x:c>
      <x:c r="C19" s="33" t="str">
        <x:v>Qual caixa excede o piso operacional e qual é o custo de pré-pagamento?</x:v>
      </x:c>
      <x:c r="D19" s="33" t="str">
        <x:v>termos de pré-pagamento e liquidez diária das aplicações</x:v>
      </x:c>
    </x:row>
    <x:row r="20">
      <x:c r="A20" s="33" t="str">
        <x:v>Oferta de resgate da 11ª emissão</x:v>
      </x:c>
      <x:c r="B20" s="33" t="str">
        <x:v>Bloqueada</x:v>
      </x:c>
      <x:c r="C20" s="33" t="str">
        <x:v>Existe adesão econômica para uma saída negociada?</x:v>
      </x:c>
      <x:c r="D20" s="33" t="str">
        <x:v>prêmio e adesão de 100% da série abrangida</x:v>
      </x:c>
    </x:row>
  </x:sheetData>
  <x:mergeCells>
    <x:mergeCell ref="A1:H1"/>
    <x:mergeCell ref="A2:H2"/>
    <x:mergeCell ref="A4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5A9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5" hidden="0" customWidth="1"/>
    <x:col min="4" max="4" width="4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8" customHeight="1">
      <x:c r="A1" s="5" t="str">
        <x:v>Premissas e cenários</x:v>
      </x:c>
      <x:c r="B1" s="5"/>
      <x:c r="C1" s="5"/>
      <x:c r="D1" s="5"/>
      <x:c r="E1" s="5"/>
      <x:c r="F1" s="5"/>
      <x:c r="G1" s="5"/>
      <x:c r="H1" s="5"/>
    </x:row>
    <x:row r="2" ht="26" customHeight="1">
      <x:c r="A2" s="8" t="str">
        <x:v>Uma única seleção controla o modelo. Células azuis são editáveis. Dados gerenciais são sintéticos.</x:v>
      </x:c>
      <x:c r="B2" s="8"/>
      <x:c r="C2" s="8"/>
      <x:c r="D2" s="8"/>
      <x:c r="E2" s="8"/>
      <x:c r="F2" s="8"/>
      <x:c r="G2" s="8"/>
      <x:c r="H2" s="8"/>
    </x:row>
    <x:row r="4" ht="28" customHeight="1">
      <x:c r="A4" t="str">
        <x:v>Cenário ativo</x:v>
      </x:c>
      <x:c r="B4" s="11" t="str">
        <x:v>Base</x:v>
      </x:c>
    </x:row>
    <x:row r="6">
      <x:c r="A6" s="15" t="str">
        <x:v>Driver</x:v>
      </x:c>
      <x:c r="B6" s="15" t="str">
        <x:v>Linha</x:v>
      </x:c>
      <x:c r="C6" s="15" t="str">
        <x:v>2026/27</x:v>
      </x:c>
      <x:c r="D6" s="15" t="str">
        <x:v>2027/28</x:v>
      </x:c>
      <x:c r="E6" s="15" t="str">
        <x:v>2028/29</x:v>
      </x:c>
      <x:c r="F6" s="15" t="str">
        <x:v>2029/30</x:v>
      </x:c>
      <x:c r="G6" s="15" t="str">
        <x:v>2030/31</x:v>
      </x:c>
      <x:c r="H6" s="15" t="str">
        <x:v>Após 2031</x:v>
      </x:c>
    </x:row>
    <x:row r="7">
      <x:c r="A7" s="23" t="str">
        <x:v>Crescimento da receita</x:v>
      </x:c>
      <x:c r="B7" s="24" t="str">
        <x:v>Ativo</x:v>
      </x:c>
      <x:c r="C7" s="19" t="n">
        <x:f>IF($B$4="Base",C8,C9)</x:f>
        <x:v>0</x:v>
      </x:c>
      <x:c r="D7" s="19" t="n">
        <x:f>IF($B$4="Base",D8,D9)</x:f>
        <x:v>0.02</x:v>
      </x:c>
      <x:c r="E7" s="19" t="n">
        <x:f>IF($B$4="Base",E8,E9)</x:f>
        <x:v>0.02</x:v>
      </x:c>
      <x:c r="F7" s="19" t="n">
        <x:f>IF($B$4="Base",F8,F9)</x:f>
        <x:v>0.02</x:v>
      </x:c>
      <x:c r="G7" s="19" t="n">
        <x:f>IF($B$4="Base",G8,G9)</x:f>
        <x:v>0.02</x:v>
      </x:c>
      <x:c r="H7" s="19" t="n">
        <x:f>IF($B$4="Base",H8,H9)</x:f>
        <x:v>0.02</x:v>
      </x:c>
    </x:row>
    <x:row r="8">
      <x:c r="A8" s="18"/>
      <x:c r="B8" s="18" t="str">
        <x:v>Base</x:v>
      </x:c>
      <x:c r="C8" s="20" t="n">
        <x:v>0</x:v>
      </x:c>
      <x:c r="D8" s="20" t="n">
        <x:v>0.02</x:v>
      </x:c>
      <x:c r="E8" s="20" t="n">
        <x:v>0.02</x:v>
      </x:c>
      <x:c r="F8" s="20" t="n">
        <x:v>0.02</x:v>
      </x:c>
      <x:c r="G8" s="20" t="n">
        <x:v>0.02</x:v>
      </x:c>
      <x:c r="H8" s="20" t="n">
        <x:v>0.02</x:v>
      </x:c>
    </x:row>
    <x:row r="9">
      <x:c r="A9" s="18"/>
      <x:c r="B9" s="18" t="str">
        <x:v>Downside</x:v>
      </x:c>
      <x:c r="C9" s="20" t="n">
        <x:v>0</x:v>
      </x:c>
      <x:c r="D9" s="20" t="n">
        <x:v>0</x:v>
      </x:c>
      <x:c r="E9" s="20" t="n">
        <x:v>0</x:v>
      </x:c>
      <x:c r="F9" s="20" t="n">
        <x:v>0</x:v>
      </x:c>
      <x:c r="G9" s="20" t="n">
        <x:v>0</x:v>
      </x:c>
      <x:c r="H9" s="20" t="n">
        <x:v>0</x:v>
      </x:c>
    </x:row>
    <x:row r="11">
      <x:c r="A11" s="23" t="str">
        <x:v>Margem EBITDA</x:v>
      </x:c>
      <x:c r="B11" s="24" t="str">
        <x:v>Ativo</x:v>
      </x:c>
      <x:c r="C11" s="19" t="n">
        <x:f>IF($B$4="Base",C12,C13)</x:f>
        <x:v>0.08201835</x:v>
      </x:c>
      <x:c r="D11" s="19" t="n">
        <x:f>IF($B$4="Base",D12,D13)</x:f>
        <x:v>0.08201835</x:v>
      </x:c>
      <x:c r="E11" s="19" t="n">
        <x:f>IF($B$4="Base",E12,E13)</x:f>
        <x:v>0.08201835</x:v>
      </x:c>
      <x:c r="F11" s="19" t="n">
        <x:f>IF($B$4="Base",F12,F13)</x:f>
        <x:v>0.08201835</x:v>
      </x:c>
      <x:c r="G11" s="19" t="n">
        <x:f>IF($B$4="Base",G12,G13)</x:f>
        <x:v>0.08201835</x:v>
      </x:c>
      <x:c r="H11" s="19" t="n">
        <x:f>IF($B$4="Base",H12,H13)</x:f>
        <x:v>0.08201835</x:v>
      </x:c>
    </x:row>
    <x:row r="12">
      <x:c r="A12" s="18"/>
      <x:c r="B12" s="18" t="str">
        <x:v>Base</x:v>
      </x:c>
      <x:c r="C12" s="20" t="n">
        <x:v>0.08201835</x:v>
      </x:c>
      <x:c r="D12" s="20" t="n">
        <x:v>0.08201835</x:v>
      </x:c>
      <x:c r="E12" s="20" t="n">
        <x:v>0.08201835</x:v>
      </x:c>
      <x:c r="F12" s="20" t="n">
        <x:v>0.08201835</x:v>
      </x:c>
      <x:c r="G12" s="20" t="n">
        <x:v>0.08201835</x:v>
      </x:c>
      <x:c r="H12" s="20" t="n">
        <x:v>0.08201835</x:v>
      </x:c>
    </x:row>
    <x:row r="13">
      <x:c r="A13" s="18"/>
      <x:c r="B13" s="18" t="str">
        <x:v>Downside</x:v>
      </x:c>
      <x:c r="C13" s="20" t="n">
        <x:v>0.08201835</x:v>
      </x:c>
      <x:c r="D13" s="20" t="n">
        <x:v>0.07201835</x:v>
      </x:c>
      <x:c r="E13" s="20" t="n">
        <x:v>0.07201835</x:v>
      </x:c>
      <x:c r="F13" s="20" t="n">
        <x:v>0.07201835</x:v>
      </x:c>
      <x:c r="G13" s="20" t="n">
        <x:v>0.07201835</x:v>
      </x:c>
      <x:c r="H13" s="20" t="n">
        <x:v>0.07201835</x:v>
      </x:c>
    </x:row>
    <x:row r="15">
      <x:c r="A15" s="23" t="str">
        <x:v>Impostos caixa</x:v>
      </x:c>
      <x:c r="B15" s="24" t="str">
        <x:v>Ativo</x:v>
      </x:c>
      <x:c r="C15" s="27" t="n">
        <x:f>IF($B$4="Base",C16,C17)</x:f>
        <x:v>60000</x:v>
      </x:c>
      <x:c r="D15" s="27" t="n">
        <x:f>IF($B$4="Base",D16,D17)</x:f>
        <x:v>61200</x:v>
      </x:c>
      <x:c r="E15" s="27" t="n">
        <x:f>IF($B$4="Base",E16,E17)</x:f>
        <x:v>62424</x:v>
      </x:c>
      <x:c r="F15" s="27" t="n">
        <x:f>IF($B$4="Base",F16,F17)</x:f>
        <x:v>63672.48</x:v>
      </x:c>
      <x:c r="G15" s="27" t="n">
        <x:f>IF($B$4="Base",G16,G17)</x:f>
        <x:v>64945.9296</x:v>
      </x:c>
      <x:c r="H15" s="27" t="n">
        <x:f>IF($B$4="Base",H16,H17)</x:f>
        <x:v>66244.848192</x:v>
      </x:c>
    </x:row>
    <x:row r="16">
      <x:c r="A16" s="18"/>
      <x:c r="B16" s="18" t="str">
        <x:v>Base</x:v>
      </x:c>
      <x:c r="C16" s="28" t="n">
        <x:v>60000</x:v>
      </x:c>
      <x:c r="D16" s="28" t="n">
        <x:v>61200</x:v>
      </x:c>
      <x:c r="E16" s="28" t="n">
        <x:v>62424</x:v>
      </x:c>
      <x:c r="F16" s="28" t="n">
        <x:v>63672.48</x:v>
      </x:c>
      <x:c r="G16" s="28" t="n">
        <x:v>64945.9296</x:v>
      </x:c>
      <x:c r="H16" s="28" t="n">
        <x:v>66244.848192</x:v>
      </x:c>
    </x:row>
    <x:row r="17">
      <x:c r="A17" s="18"/>
      <x:c r="B17" s="18" t="str">
        <x:v>Downside</x:v>
      </x:c>
      <x:c r="C17" s="28" t="n">
        <x:v>60000</x:v>
      </x:c>
      <x:c r="D17" s="28" t="n">
        <x:v>61200</x:v>
      </x:c>
      <x:c r="E17" s="28" t="n">
        <x:v>62424</x:v>
      </x:c>
      <x:c r="F17" s="28" t="n">
        <x:v>63672.48</x:v>
      </x:c>
      <x:c r="G17" s="28" t="n">
        <x:v>64945.9296</x:v>
      </x:c>
      <x:c r="H17" s="28" t="n">
        <x:v>66244.848192</x:v>
      </x:c>
    </x:row>
    <x:row r="19">
      <x:c r="A19" s="23" t="str">
        <x:v>Capex</x:v>
      </x:c>
      <x:c r="B19" s="24" t="str">
        <x:v>Ativo</x:v>
      </x:c>
      <x:c r="C19" s="27" t="n">
        <x:f>IF($B$4="Base",C20,C21)</x:f>
        <x:v>400000</x:v>
      </x:c>
      <x:c r="D19" s="27" t="n">
        <x:f>IF($B$4="Base",D20,D21)</x:f>
        <x:v>183600</x:v>
      </x:c>
      <x:c r="E19" s="27" t="n">
        <x:f>IF($B$4="Base",E20,E21)</x:f>
        <x:v>187272</x:v>
      </x:c>
      <x:c r="F19" s="27" t="n">
        <x:f>IF($B$4="Base",F20,F21)</x:f>
        <x:v>191017.44</x:v>
      </x:c>
      <x:c r="G19" s="27" t="n">
        <x:f>IF($B$4="Base",G20,G21)</x:f>
        <x:v>194837.7888</x:v>
      </x:c>
      <x:c r="H19" s="27" t="n">
        <x:f>IF($B$4="Base",H20,H21)</x:f>
        <x:v>198734.544576</x:v>
      </x:c>
    </x:row>
    <x:row r="20">
      <x:c r="A20" s="18"/>
      <x:c r="B20" s="18" t="str">
        <x:v>Base</x:v>
      </x:c>
      <x:c r="C20" s="28" t="n">
        <x:v>400000</x:v>
      </x:c>
      <x:c r="D20" s="28" t="n">
        <x:v>183600</x:v>
      </x:c>
      <x:c r="E20" s="28" t="n">
        <x:v>187272</x:v>
      </x:c>
      <x:c r="F20" s="28" t="n">
        <x:v>191017.44</x:v>
      </x:c>
      <x:c r="G20" s="28" t="n">
        <x:v>194837.7888</x:v>
      </x:c>
      <x:c r="H20" s="28" t="n">
        <x:v>198734.544576</x:v>
      </x:c>
    </x:row>
    <x:row r="21">
      <x:c r="A21" s="18"/>
      <x:c r="B21" s="18" t="str">
        <x:v>Downside</x:v>
      </x:c>
      <x:c r="C21" s="28" t="n">
        <x:v>400000</x:v>
      </x:c>
      <x:c r="D21" s="28" t="n">
        <x:v>183600</x:v>
      </x:c>
      <x:c r="E21" s="28" t="n">
        <x:v>187272</x:v>
      </x:c>
      <x:c r="F21" s="28" t="n">
        <x:v>191017.44</x:v>
      </x:c>
      <x:c r="G21" s="28" t="n">
        <x:v>194837.7888</x:v>
      </x:c>
      <x:c r="H21" s="28" t="n">
        <x:v>198734.544576</x:v>
      </x:c>
    </x:row>
    <x:row r="23">
      <x:c r="A23" s="23" t="str">
        <x:v>Variação do capital de giro</x:v>
      </x:c>
      <x:c r="B23" s="24" t="str">
        <x:v>Ativo</x:v>
      </x:c>
      <x:c r="C23" s="27" t="n">
        <x:f>IF($B$4="Base",C24,C25)</x:f>
        <x:v>50000</x:v>
      </x:c>
      <x:c r="D23" s="27" t="n">
        <x:f>IF($B$4="Base",D24,D25)</x:f>
        <x:v>50000</x:v>
      </x:c>
      <x:c r="E23" s="27" t="n">
        <x:f>IF($B$4="Base",E24,E25)</x:f>
        <x:v>50000</x:v>
      </x:c>
      <x:c r="F23" s="27" t="n">
        <x:f>IF($B$4="Base",F24,F25)</x:f>
        <x:v>50000</x:v>
      </x:c>
      <x:c r="G23" s="27" t="n">
        <x:f>IF($B$4="Base",G24,G25)</x:f>
        <x:v>50000</x:v>
      </x:c>
      <x:c r="H23" s="27" t="n">
        <x:f>IF($B$4="Base",H24,H25)</x:f>
        <x:v>50000</x:v>
      </x:c>
    </x:row>
    <x:row r="24">
      <x:c r="A24" s="18"/>
      <x:c r="B24" s="18" t="str">
        <x:v>Base</x:v>
      </x:c>
      <x:c r="C24" s="28" t="n">
        <x:v>50000</x:v>
      </x:c>
      <x:c r="D24" s="28" t="n">
        <x:v>50000</x:v>
      </x:c>
      <x:c r="E24" s="28" t="n">
        <x:v>50000</x:v>
      </x:c>
      <x:c r="F24" s="28" t="n">
        <x:v>50000</x:v>
      </x:c>
      <x:c r="G24" s="28" t="n">
        <x:v>50000</x:v>
      </x:c>
      <x:c r="H24" s="28" t="n">
        <x:v>50000</x:v>
      </x:c>
    </x:row>
    <x:row r="25">
      <x:c r="A25" s="18"/>
      <x:c r="B25" s="18" t="str">
        <x:v>Downside</x:v>
      </x:c>
      <x:c r="C25" s="28" t="n">
        <x:v>50000</x:v>
      </x:c>
      <x:c r="D25" s="28" t="n">
        <x:v>75000</x:v>
      </x:c>
      <x:c r="E25" s="28" t="n">
        <x:v>75000</x:v>
      </x:c>
      <x:c r="F25" s="28" t="n">
        <x:v>75000</x:v>
      </x:c>
      <x:c r="G25" s="28" t="n">
        <x:v>75000</x:v>
      </x:c>
      <x:c r="H25" s="28" t="n">
        <x:v>75000</x:v>
      </x:c>
    </x:row>
    <x:row r="27">
      <x:c r="A27" s="23" t="str">
        <x:v>Arrendamentos</x:v>
      </x:c>
      <x:c r="B27" s="24" t="str">
        <x:v>Ativo</x:v>
      </x:c>
      <x:c r="C27" s="27" t="n">
        <x:f>IF($B$4="Base",C28,C29)</x:f>
        <x:v>60000</x:v>
      </x:c>
      <x:c r="D27" s="27" t="n">
        <x:f>IF($B$4="Base",D28,D29)</x:f>
        <x:v>60000</x:v>
      </x:c>
      <x:c r="E27" s="27" t="n">
        <x:f>IF($B$4="Base",E28,E29)</x:f>
        <x:v>60000</x:v>
      </x:c>
      <x:c r="F27" s="27" t="n">
        <x:f>IF($B$4="Base",F28,F29)</x:f>
        <x:v>60000</x:v>
      </x:c>
      <x:c r="G27" s="27" t="n">
        <x:f>IF($B$4="Base",G28,G29)</x:f>
        <x:v>60000</x:v>
      </x:c>
      <x:c r="H27" s="27" t="n">
        <x:f>IF($B$4="Base",H28,H29)</x:f>
        <x:v>60000</x:v>
      </x:c>
    </x:row>
    <x:row r="28">
      <x:c r="A28" s="18"/>
      <x:c r="B28" s="18" t="str">
        <x:v>Base</x:v>
      </x:c>
      <x:c r="C28" s="28" t="n">
        <x:v>60000</x:v>
      </x:c>
      <x:c r="D28" s="28" t="n">
        <x:v>60000</x:v>
      </x:c>
      <x:c r="E28" s="28" t="n">
        <x:v>60000</x:v>
      </x:c>
      <x:c r="F28" s="28" t="n">
        <x:v>60000</x:v>
      </x:c>
      <x:c r="G28" s="28" t="n">
        <x:v>60000</x:v>
      </x:c>
      <x:c r="H28" s="28" t="n">
        <x:v>60000</x:v>
      </x:c>
    </x:row>
    <x:row r="29">
      <x:c r="A29" s="18"/>
      <x:c r="B29" s="18" t="str">
        <x:v>Downside</x:v>
      </x:c>
      <x:c r="C29" s="28" t="n">
        <x:v>60000</x:v>
      </x:c>
      <x:c r="D29" s="28" t="n">
        <x:v>60000</x:v>
      </x:c>
      <x:c r="E29" s="28" t="n">
        <x:v>60000</x:v>
      </x:c>
      <x:c r="F29" s="28" t="n">
        <x:v>60000</x:v>
      </x:c>
      <x:c r="G29" s="28" t="n">
        <x:v>60000</x:v>
      </x:c>
      <x:c r="H29" s="28" t="n">
        <x:v>60000</x:v>
      </x:c>
    </x:row>
    <x:row r="31">
      <x:c r="A31" s="23" t="str">
        <x:v>Dividendos</x:v>
      </x:c>
      <x:c r="B31" s="24" t="str">
        <x:v>Ativo</x:v>
      </x:c>
      <x:c r="C31" s="27" t="n">
        <x:f>IF($B$4="Base",C32,C33)</x:f>
        <x:v>90000</x:v>
      </x:c>
      <x:c r="D31" s="27" t="n">
        <x:f>IF($B$4="Base",D32,D33)</x:f>
        <x:v>91800</x:v>
      </x:c>
      <x:c r="E31" s="27" t="n">
        <x:f>IF($B$4="Base",E32,E33)</x:f>
        <x:v>93636</x:v>
      </x:c>
      <x:c r="F31" s="27" t="n">
        <x:f>IF($B$4="Base",F32,F33)</x:f>
        <x:v>95508.72</x:v>
      </x:c>
      <x:c r="G31" s="27" t="n">
        <x:f>IF($B$4="Base",G32,G33)</x:f>
        <x:v>97418.8944</x:v>
      </x:c>
      <x:c r="H31" s="27" t="n">
        <x:f>IF($B$4="Base",H32,H33)</x:f>
        <x:v>99367.272288</x:v>
      </x:c>
    </x:row>
    <x:row r="32">
      <x:c r="A32" s="18"/>
      <x:c r="B32" s="18" t="str">
        <x:v>Base</x:v>
      </x:c>
      <x:c r="C32" s="28" t="n">
        <x:v>90000</x:v>
      </x:c>
      <x:c r="D32" s="28" t="n">
        <x:v>91800</x:v>
      </x:c>
      <x:c r="E32" s="28" t="n">
        <x:v>93636</x:v>
      </x:c>
      <x:c r="F32" s="28" t="n">
        <x:v>95508.72</x:v>
      </x:c>
      <x:c r="G32" s="28" t="n">
        <x:v>97418.8944</x:v>
      </x:c>
      <x:c r="H32" s="28" t="n">
        <x:v>99367.272288</x:v>
      </x:c>
    </x:row>
    <x:row r="33">
      <x:c r="A33" s="18"/>
      <x:c r="B33" s="18" t="str">
        <x:v>Downside</x:v>
      </x:c>
      <x:c r="C33" s="28" t="n">
        <x:v>90000</x:v>
      </x:c>
      <x:c r="D33" s="28" t="n">
        <x:v>0</x:v>
      </x:c>
      <x:c r="E33" s="28" t="n">
        <x:v>0</x:v>
      </x:c>
      <x:c r="F33" s="28" t="n">
        <x:v>0</x:v>
      </x:c>
      <x:c r="G33" s="28" t="n">
        <x:v>0</x:v>
      </x:c>
      <x:c r="H33" s="28" t="n">
        <x:v>0</x:v>
      </x:c>
    </x:row>
    <x:row r="35">
      <x:c r="A35" s="23" t="str">
        <x:v>Parcela refinanciada</x:v>
      </x:c>
      <x:c r="B35" s="24" t="str">
        <x:v>Ativo</x:v>
      </x:c>
      <x:c r="C35" s="19" t="n">
        <x:f>IF($B$4="Base",C36,C37)</x:f>
        <x:v>1</x:v>
      </x:c>
      <x:c r="D35" s="19" t="n">
        <x:f>IF($B$4="Base",D36,D37)</x:f>
        <x:v>1</x:v>
      </x:c>
      <x:c r="E35" s="19" t="n">
        <x:f>IF($B$4="Base",E36,E37)</x:f>
        <x:v>1</x:v>
      </x:c>
      <x:c r="F35" s="19" t="n">
        <x:f>IF($B$4="Base",F36,F37)</x:f>
        <x:v>1</x:v>
      </x:c>
      <x:c r="G35" s="19" t="n">
        <x:f>IF($B$4="Base",G36,G37)</x:f>
        <x:v>1</x:v>
      </x:c>
      <x:c r="H35" s="19" t="n">
        <x:f>IF($B$4="Base",H36,H37)</x:f>
        <x:v>1</x:v>
      </x:c>
    </x:row>
    <x:row r="36">
      <x:c r="A36" s="18"/>
      <x:c r="B36" s="18" t="str">
        <x:v>Base</x:v>
      </x:c>
      <x:c r="C36" s="20" t="n">
        <x:v>1</x:v>
      </x:c>
      <x:c r="D36" s="20" t="n">
        <x:v>1</x:v>
      </x:c>
      <x:c r="E36" s="20" t="n">
        <x:v>1</x:v>
      </x:c>
      <x:c r="F36" s="20" t="n">
        <x:v>1</x:v>
      </x:c>
      <x:c r="G36" s="20" t="n">
        <x:v>1</x:v>
      </x:c>
      <x:c r="H36" s="20" t="n">
        <x:v>1</x:v>
      </x:c>
    </x:row>
    <x:row r="37">
      <x:c r="A37" s="18"/>
      <x:c r="B37" s="18" t="str">
        <x:v>Downside</x:v>
      </x:c>
      <x:c r="C37" s="20" t="n">
        <x:v>0.9</x:v>
      </x:c>
      <x:c r="D37" s="20" t="n">
        <x:v>0.9</x:v>
      </x:c>
      <x:c r="E37" s="20" t="n">
        <x:v>0.9</x:v>
      </x:c>
      <x:c r="F37" s="20" t="n">
        <x:v>1</x:v>
      </x:c>
      <x:c r="G37" s="20" t="n">
        <x:v>1</x:v>
      </x:c>
      <x:c r="H37" s="20" t="n">
        <x:v>1</x:v>
      </x:c>
    </x:row>
    <x:row r="39">
      <x:c r="A39" s="23" t="str">
        <x:v>CDI</x:v>
      </x:c>
      <x:c r="B39" s="24" t="str">
        <x:v>Ativo</x:v>
      </x:c>
      <x:c r="C39" s="19" t="n">
        <x:f>IF($B$4="Base",C40,C41)</x:f>
        <x:v>0.1391</x:v>
      </x:c>
      <x:c r="D39" s="19" t="n">
        <x:f>IF($B$4="Base",D40,D41)</x:f>
        <x:v>0.1391</x:v>
      </x:c>
      <x:c r="E39" s="19" t="n">
        <x:f>IF($B$4="Base",E40,E41)</x:f>
        <x:v>0.1391</x:v>
      </x:c>
      <x:c r="F39" s="19" t="n">
        <x:f>IF($B$4="Base",F40,F41)</x:f>
        <x:v>0.1391</x:v>
      </x:c>
      <x:c r="G39" s="19" t="n">
        <x:f>IF($B$4="Base",G40,G41)</x:f>
        <x:v>0.1391</x:v>
      </x:c>
      <x:c r="H39" s="19" t="n">
        <x:f>IF($B$4="Base",H40,H41)</x:f>
        <x:v>0.1391</x:v>
      </x:c>
    </x:row>
    <x:row r="40">
      <x:c r="A40" s="18"/>
      <x:c r="B40" s="18" t="str">
        <x:v>Base</x:v>
      </x:c>
      <x:c r="C40" s="20" t="n">
        <x:v>0.1391</x:v>
      </x:c>
      <x:c r="D40" s="20" t="n">
        <x:v>0.1391</x:v>
      </x:c>
      <x:c r="E40" s="20" t="n">
        <x:v>0.1391</x:v>
      </x:c>
      <x:c r="F40" s="20" t="n">
        <x:v>0.1391</x:v>
      </x:c>
      <x:c r="G40" s="20" t="n">
        <x:v>0.1391</x:v>
      </x:c>
      <x:c r="H40" s="20" t="n">
        <x:v>0.1391</x:v>
      </x:c>
    </x:row>
    <x:row r="41">
      <x:c r="A41" s="18"/>
      <x:c r="B41" s="18" t="str">
        <x:v>Downside</x:v>
      </x:c>
      <x:c r="C41" s="20" t="n">
        <x:v>0.1591</x:v>
      </x:c>
      <x:c r="D41" s="20" t="n">
        <x:v>0.1591</x:v>
      </x:c>
      <x:c r="E41" s="20" t="n">
        <x:v>0.1591</x:v>
      </x:c>
      <x:c r="F41" s="20" t="n">
        <x:v>0.1591</x:v>
      </x:c>
      <x:c r="G41" s="20" t="n">
        <x:v>0.1591</x:v>
      </x:c>
      <x:c r="H41" s="20" t="n">
        <x:v>0.1591</x:v>
      </x:c>
    </x:row>
    <x:row r="43">
      <x:c r="A43" s="23" t="str">
        <x:v>IPCA</x:v>
      </x:c>
      <x:c r="B43" s="24" t="str">
        <x:v>Ativo</x:v>
      </x:c>
      <x:c r="C43" s="19" t="n">
        <x:f>IF($B$4="Base",C44,C45)</x:f>
        <x:v>0.06052</x:v>
      </x:c>
      <x:c r="D43" s="19" t="n">
        <x:f>IF($B$4="Base",D44,D45)</x:f>
        <x:v>0.057576</x:v>
      </x:c>
      <x:c r="E43" s="19" t="n">
        <x:f>IF($B$4="Base",E44,E45)</x:f>
        <x:v>0.056539</x:v>
      </x:c>
      <x:c r="F43" s="19" t="n">
        <x:f>IF($B$4="Base",F44,F45)</x:f>
        <x:v>0.056419</x:v>
      </x:c>
      <x:c r="G43" s="19" t="n">
        <x:f>IF($B$4="Base",G44,G45)</x:f>
        <x:v>0.056755</x:v>
      </x:c>
      <x:c r="H43" s="19" t="n">
        <x:f>IF($B$4="Base",H44,H45)</x:f>
        <x:v>0.057323</x:v>
      </x:c>
    </x:row>
    <x:row r="44">
      <x:c r="A44" s="18"/>
      <x:c r="B44" s="18" t="str">
        <x:v>Base</x:v>
      </x:c>
      <x:c r="C44" s="20" t="n">
        <x:v>0.06052</x:v>
      </x:c>
      <x:c r="D44" s="20" t="n">
        <x:v>0.057576</x:v>
      </x:c>
      <x:c r="E44" s="20" t="n">
        <x:v>0.056539</x:v>
      </x:c>
      <x:c r="F44" s="20" t="n">
        <x:v>0.056419</x:v>
      </x:c>
      <x:c r="G44" s="20" t="n">
        <x:v>0.056755</x:v>
      </x:c>
      <x:c r="H44" s="20" t="n">
        <x:v>0.057323</x:v>
      </x:c>
    </x:row>
    <x:row r="45">
      <x:c r="A45" s="18"/>
      <x:c r="B45" s="18" t="str">
        <x:v>Downside</x:v>
      </x:c>
      <x:c r="C45" s="20" t="n">
        <x:v>0.07052</x:v>
      </x:c>
      <x:c r="D45" s="20" t="n">
        <x:v>0.067576</x:v>
      </x:c>
      <x:c r="E45" s="20" t="n">
        <x:v>0.066539</x:v>
      </x:c>
      <x:c r="F45" s="20" t="n">
        <x:v>0.066419</x:v>
      </x:c>
      <x:c r="G45" s="20" t="n">
        <x:v>0.066755</x:v>
      </x:c>
      <x:c r="H45" s="20" t="n">
        <x:v>0.067323</x:v>
      </x:c>
    </x:row>
    <x:row r="47">
      <x:c r="A47" s="23" t="str">
        <x:v>SOFR</x:v>
      </x:c>
      <x:c r="B47" s="24" t="str">
        <x:v>Ativo</x:v>
      </x:c>
      <x:c r="C47" s="19" t="n">
        <x:f>IF($B$4="Base",C48,C49)</x:f>
        <x:v>0.043</x:v>
      </x:c>
      <x:c r="D47" s="19" t="n">
        <x:f>IF($B$4="Base",D48,D49)</x:f>
        <x:v>0.043</x:v>
      </x:c>
      <x:c r="E47" s="19" t="n">
        <x:f>IF($B$4="Base",E48,E49)</x:f>
        <x:v>0.043</x:v>
      </x:c>
      <x:c r="F47" s="19" t="n">
        <x:f>IF($B$4="Base",F48,F49)</x:f>
        <x:v>0.043</x:v>
      </x:c>
      <x:c r="G47" s="19" t="n">
        <x:f>IF($B$4="Base",G48,G49)</x:f>
        <x:v>0.043</x:v>
      </x:c>
      <x:c r="H47" s="19" t="n">
        <x:f>IF($B$4="Base",H48,H49)</x:f>
        <x:v>0.043</x:v>
      </x:c>
    </x:row>
    <x:row r="48">
      <x:c r="A48" s="18"/>
      <x:c r="B48" s="18" t="str">
        <x:v>Base</x:v>
      </x:c>
      <x:c r="C48" s="20" t="n">
        <x:v>0.043</x:v>
      </x:c>
      <x:c r="D48" s="20" t="n">
        <x:v>0.043</x:v>
      </x:c>
      <x:c r="E48" s="20" t="n">
        <x:v>0.043</x:v>
      </x:c>
      <x:c r="F48" s="20" t="n">
        <x:v>0.043</x:v>
      </x:c>
      <x:c r="G48" s="20" t="n">
        <x:v>0.043</x:v>
      </x:c>
      <x:c r="H48" s="20" t="n">
        <x:v>0.043</x:v>
      </x:c>
    </x:row>
    <x:row r="49">
      <x:c r="A49" s="18"/>
      <x:c r="B49" s="18" t="str">
        <x:v>Downside</x:v>
      </x:c>
      <x:c r="C49" s="20" t="n">
        <x:v>0.053</x:v>
      </x:c>
      <x:c r="D49" s="20" t="n">
        <x:v>0.053</x:v>
      </x:c>
      <x:c r="E49" s="20" t="n">
        <x:v>0.053</x:v>
      </x:c>
      <x:c r="F49" s="20" t="n">
        <x:v>0.053</x:v>
      </x:c>
      <x:c r="G49" s="20" t="n">
        <x:v>0.053</x:v>
      </x:c>
      <x:c r="H49" s="20" t="n">
        <x:v>0.053</x:v>
      </x:c>
    </x:row>
    <x:row r="51">
      <x:c r="A51" s="29" t="str">
        <x:v>Custo da dívida refinanciada</x:v>
      </x:c>
      <x:c r="B51" s="18" t="str">
        <x:v>Ativo</x:v>
      </x:c>
      <x:c r="C51" s="19" t="n">
        <x:f>C39+1.50%</x:f>
        <x:v>0.15410000000000001</x:v>
      </x:c>
      <x:c r="D51" s="19" t="n">
        <x:f>D39+1.50%</x:f>
        <x:v>0.15410000000000001</x:v>
      </x:c>
      <x:c r="E51" s="19" t="n">
        <x:f>E39+1.50%</x:f>
        <x:v>0.15410000000000001</x:v>
      </x:c>
      <x:c r="F51" s="19" t="n">
        <x:f>F39+1.50%</x:f>
        <x:v>0.15410000000000001</x:v>
      </x:c>
      <x:c r="G51" s="19" t="n">
        <x:f>G39+1.50%</x:f>
        <x:v>0.15410000000000001</x:v>
      </x:c>
      <x:c r="H51" s="19" t="n">
        <x:f>H39+1.50%</x:f>
        <x:v>0.15410000000000001</x:v>
      </x:c>
    </x:row>
    <x:row r="54">
      <x:c r="A54" s="32" t="str">
        <x:v>Fundamento das premissas</x:v>
      </x:c>
      <x:c r="B54" s="32"/>
      <x:c r="C54" s="32"/>
      <x:c r="D54" s="32"/>
      <x:c r="E54" s="32"/>
      <x:c r="F54" s="32"/>
      <x:c r="G54" s="32"/>
      <x:c r="H54" s="32"/>
    </x:row>
    <x:row r="55">
      <x:c r="A55" s="15" t="str">
        <x:v>Driver</x:v>
      </x:c>
      <x:c r="B55" s="15" t="str">
        <x:v>Base</x:v>
      </x:c>
      <x:c r="C55" s="15" t="str">
        <x:v>Downside</x:v>
      </x:c>
      <x:c r="D55" s="15" t="str">
        <x:v>Fundamento e limite</x:v>
      </x:c>
    </x:row>
    <x:row r="56">
      <x:c r="A56" s="33" t="str">
        <x:v>Crescimento de receita</x:v>
      </x:c>
      <x:c r="B56" s="33" t="str">
        <x:v>2,0% nominal após o orçamento</x:v>
      </x:c>
      <x:c r="C56" s="33" t="str">
        <x:v>0,0%</x:v>
      </x:c>
      <x:c r="D56" s="33" t="str">
        <x:v>premissa gerencial sintética; substituir por plano por categoria, volume, preço e mix</x:v>
      </x:c>
    </x:row>
    <x:row r="57">
      <x:c r="A57" s="33" t="str">
        <x:v>Margem EBITDA</x:v>
      </x:c>
      <x:c r="B57" s="33" t="str">
        <x:v>8.20%</x:v>
      </x:c>
      <x:c r="C57" s="33" t="str">
        <x:v>menos 100 bps após 2026/27</x:v>
      </x:c>
      <x:c r="D57" s="33" t="str">
        <x:v>orçamento sintético; não substitui build por produto e geografia</x:v>
      </x:c>
    </x:row>
    <x:row r="58">
      <x:c r="A58" s="33" t="str">
        <x:v>Refinanciamento</x:v>
      </x:c>
      <x:c r="B58" s="33" t="str">
        <x:v>100% do principal</x:v>
      </x:c>
      <x:c r="C58" s="33" t="str">
        <x:v>90% nos três primeiros anos</x:v>
      </x:c>
      <x:c r="D58" s="33" t="str">
        <x:v>cenário de execução, não linha comprometida nem oferta</x:v>
      </x:c>
    </x:row>
    <x:row r="59">
      <x:c r="A59" s="33" t="str">
        <x:v>Custo da rolagem</x:v>
      </x:c>
      <x:c r="B59" s="33" t="str">
        <x:v>15.41% a.a.</x:v>
      </x:c>
      <x:c r="C59" s="33" t="str">
        <x:v>+200 bps</x:v>
      </x:c>
      <x:c r="D59" s="33" t="str">
        <x:v>CDI spot mais 1,50%; a curva DI futura e o spread executável permanecem lacunas</x:v>
      </x:c>
    </x:row>
    <x:row r="60">
      <x:c r="A60" s="33" t="str">
        <x:v>CDI</x:v>
      </x:c>
      <x:c r="B60" s="33" t="str">
        <x:v>13.91% spot anualizado</x:v>
      </x:c>
      <x:c r="C60" s="33" t="str">
        <x:v>+200 bps</x:v>
      </x:c>
      <x:c r="D60" s="33" t="str">
        <x:v>SGS 12; curva DI futura ainda ausente</x:v>
      </x:c>
    </x:row>
    <x:row r="61">
      <x:c r="A61" s="33" t="str">
        <x:v>IPCA</x:v>
      </x:c>
      <x:c r="B61" s="33" t="str">
        <x:v>inflação implícita ANBIMA</x:v>
      </x:c>
      <x:c r="C61" s="33" t="str">
        <x:v>+100 bps</x:v>
      </x:c>
      <x:c r="D61" s="33" t="str">
        <x:v>ETTJ 04/09/2026; atualização capitaliza no principal das séries tratadas como bullet</x:v>
      </x:c>
    </x:row>
  </x:sheetData>
  <x:mergeCells>
    <x:mergeCell ref="A1:H1"/>
    <x:mergeCell ref="A2:H2"/>
    <x:mergeCell ref="A7:A9"/>
    <x:mergeCell ref="A11:A13"/>
    <x:mergeCell ref="A15:A17"/>
    <x:mergeCell ref="A19:A21"/>
    <x:mergeCell ref="A23:A25"/>
    <x:mergeCell ref="A27:A29"/>
    <x:mergeCell ref="A31:A33"/>
    <x:mergeCell ref="A35:A37"/>
    <x:mergeCell ref="A39:A41"/>
    <x:mergeCell ref="A43:A45"/>
    <x:mergeCell ref="A47:A49"/>
    <x:mergeCell ref="A54:H54"/>
  </x:mergeCells>
  <x:dataValidations count="1">
    <x:dataValidation type="list" sqref="B4">
      <x:formula1>"Base,Downside"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E1824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8" customHeight="1">
      <x:c r="A1" s="5" t="str">
        <x:v>Modelo prospectivo de caixa e dívida</x:v>
      </x:c>
      <x:c r="B1" s="5"/>
      <x:c r="C1" s="5"/>
      <x:c r="D1" s="5"/>
      <x:c r="E1" s="5"/>
      <x:c r="F1" s="5"/>
      <x:c r="G1" s="5"/>
      <x:c r="H1" s="5"/>
    </x:row>
    <x:row r="2" ht="26" customHeight="1">
      <x:c r="A2" s="8" t="str">
        <x:v>Modelo preliminar controlado por premissas. O refinanciamento paga juros a partir do período seguinte e vence após o horizonte explícito.</x:v>
      </x:c>
      <x:c r="B2" s="8"/>
      <x:c r="C2" s="8"/>
      <x:c r="D2" s="8"/>
      <x:c r="E2" s="8"/>
      <x:c r="F2" s="8"/>
      <x:c r="G2" s="8"/>
      <x:c r="H2" s="8"/>
    </x:row>
    <x:row r="4">
      <x:c r="A4" s="15" t="str">
        <x:v>R$ mil, salvo indicadores</x:v>
      </x:c>
      <x:c r="B4" s="15" t="str">
        <x:v>2026/27</x:v>
      </x:c>
      <x:c r="C4" s="15" t="str">
        <x:v>2027/28</x:v>
      </x:c>
      <x:c r="D4" s="15" t="str">
        <x:v>2028/29</x:v>
      </x:c>
      <x:c r="E4" s="15" t="str">
        <x:v>2029/30</x:v>
      </x:c>
      <x:c r="F4" s="15" t="str">
        <x:v>2030/31</x:v>
      </x:c>
      <x:c r="G4" s="15" t="str">
        <x:v>Após 2031</x:v>
      </x:c>
    </x:row>
    <x:row r="5">
      <x:c r="A5" s="44" t="str">
        <x:v>Receita líquida</x:v>
      </x:c>
      <x:c r="B5" s="45" t="n">
        <x:f>SUM(2740000,2860000,2560000,2740000)</x:f>
        <x:v>10900000</x:v>
      </x:c>
      <x:c r="C5" s="45" t="n">
        <x:f>B5*(1+'Premissas'!D7)</x:f>
        <x:v>11118000</x:v>
      </x:c>
      <x:c r="D5" s="45" t="n">
        <x:f>C5*(1+'Premissas'!E7)</x:f>
        <x:v>11340360</x:v>
      </x:c>
      <x:c r="E5" s="45" t="n">
        <x:f>D5*(1+'Premissas'!F7)</x:f>
        <x:v>11567167.200000001</x:v>
      </x:c>
      <x:c r="F5" s="45" t="n">
        <x:f>E5*(1+'Premissas'!G7)</x:f>
        <x:v>11798510.544000002</x:v>
      </x:c>
      <x:c r="G5" s="45" t="n">
        <x:f>F5*(1+'Premissas'!H7)</x:f>
        <x:v>12034480.754880002</x:v>
      </x:c>
    </x:row>
    <x:row r="6">
      <x:c r="A6" s="44" t="str">
        <x:v>EBITDA</x:v>
      </x:c>
      <x:c r="B6" s="45" t="n">
        <x:f>B5*'Premissas'!C11</x:f>
        <x:v>894000.015</x:v>
      </x:c>
      <x:c r="C6" s="45" t="n">
        <x:f>C5*'Premissas'!D11</x:f>
        <x:v>911880.0153000001</x:v>
      </x:c>
      <x:c r="D6" s="45" t="n">
        <x:f>D5*'Premissas'!E11</x:f>
        <x:v>930117.6156060001</x:v>
      </x:c>
      <x:c r="E6" s="45" t="n">
        <x:f>E5*'Premissas'!F11</x:f>
        <x:v>948719.9679181201</x:v>
      </x:c>
      <x:c r="F6" s="45" t="n">
        <x:f>F5*'Premissas'!G11</x:f>
        <x:v>967694.3672764826</x:v>
      </x:c>
      <x:c r="G6" s="45" t="n">
        <x:f>G5*'Premissas'!H11</x:f>
        <x:v>987048.2546220123</x:v>
      </x:c>
    </x:row>
    <x:row r="7">
      <x:c r="A7" s="18" t="str">
        <x:v>Margem EBITDA</x:v>
      </x:c>
      <x:c r="B7" s="46" t="n">
        <x:f>B6/B5</x:f>
        <x:v>0.08201835</x:v>
      </x:c>
      <x:c r="C7" s="46" t="n">
        <x:f>C6/C5</x:f>
        <x:v>0.08201835</x:v>
      </x:c>
      <x:c r="D7" s="46" t="n">
        <x:f>D6/D5</x:f>
        <x:v>0.08201835</x:v>
      </x:c>
      <x:c r="E7" s="46" t="n">
        <x:f>E6/E5</x:f>
        <x:v>0.08201835</x:v>
      </x:c>
      <x:c r="F7" s="46" t="n">
        <x:f>F6/F5</x:f>
        <x:v>0.08201835</x:v>
      </x:c>
      <x:c r="G7" s="46" t="n">
        <x:f>G6/G5</x:f>
        <x:v>0.08201835</x:v>
      </x:c>
    </x:row>
    <x:row r="8">
      <x:c r="A8" s="18" t="str">
        <x:v>Impostos caixa</x:v>
      </x:c>
      <x:c r="B8" s="47" t="n">
        <x:f>'Premissas'!C15</x:f>
        <x:v>60000</x:v>
      </x:c>
      <x:c r="C8" s="47" t="n">
        <x:f>'Premissas'!D15</x:f>
        <x:v>61200</x:v>
      </x:c>
      <x:c r="D8" s="47" t="n">
        <x:f>'Premissas'!E15</x:f>
        <x:v>62424</x:v>
      </x:c>
      <x:c r="E8" s="47" t="n">
        <x:f>'Premissas'!F15</x:f>
        <x:v>63672.48</x:v>
      </x:c>
      <x:c r="F8" s="47" t="n">
        <x:f>'Premissas'!G15</x:f>
        <x:v>64945.9296</x:v>
      </x:c>
      <x:c r="G8" s="47" t="n">
        <x:f>'Premissas'!H15</x:f>
        <x:v>66244.848192</x:v>
      </x:c>
    </x:row>
    <x:row r="9">
      <x:c r="A9" s="18" t="str">
        <x:v>Capex</x:v>
      </x:c>
      <x:c r="B9" s="47" t="n">
        <x:f>'Premissas'!C19</x:f>
        <x:v>400000</x:v>
      </x:c>
      <x:c r="C9" s="47" t="n">
        <x:f>'Premissas'!D19</x:f>
        <x:v>183600</x:v>
      </x:c>
      <x:c r="D9" s="47" t="n">
        <x:f>'Premissas'!E19</x:f>
        <x:v>187272</x:v>
      </x:c>
      <x:c r="E9" s="47" t="n">
        <x:f>'Premissas'!F19</x:f>
        <x:v>191017.44</x:v>
      </x:c>
      <x:c r="F9" s="47" t="n">
        <x:f>'Premissas'!G19</x:f>
        <x:v>194837.7888</x:v>
      </x:c>
      <x:c r="G9" s="47" t="n">
        <x:f>'Premissas'!H19</x:f>
        <x:v>198734.544576</x:v>
      </x:c>
    </x:row>
    <x:row r="10">
      <x:c r="A10" s="18" t="str">
        <x:v>Variação do capital de giro</x:v>
      </x:c>
      <x:c r="B10" s="47" t="n">
        <x:f>'Premissas'!C23</x:f>
        <x:v>50000</x:v>
      </x:c>
      <x:c r="C10" s="47" t="n">
        <x:f>'Premissas'!D23</x:f>
        <x:v>50000</x:v>
      </x:c>
      <x:c r="D10" s="47" t="n">
        <x:f>'Premissas'!E23</x:f>
        <x:v>50000</x:v>
      </x:c>
      <x:c r="E10" s="47" t="n">
        <x:f>'Premissas'!F23</x:f>
        <x:v>50000</x:v>
      </x:c>
      <x:c r="F10" s="47" t="n">
        <x:f>'Premissas'!G23</x:f>
        <x:v>50000</x:v>
      </x:c>
      <x:c r="G10" s="47" t="n">
        <x:f>'Premissas'!H23</x:f>
        <x:v>50000</x:v>
      </x:c>
    </x:row>
    <x:row r="11">
      <x:c r="A11" s="49" t="str">
        <x:v>CFADS antes do serviço da dívida</x:v>
      </x:c>
      <x:c r="B11" s="50" t="n">
        <x:f>B6-B8-B9-B10</x:f>
        <x:v>384000.015</x:v>
      </x:c>
      <x:c r="C11" s="50" t="n">
        <x:f>C6-C8-C9-C10</x:f>
        <x:v>617080.0153000001</x:v>
      </x:c>
      <x:c r="D11" s="50" t="n">
        <x:f>D6-D8-D9-D10</x:f>
        <x:v>630421.6156060001</x:v>
      </x:c>
      <x:c r="E11" s="50" t="n">
        <x:f>E6-E8-E9-E10</x:f>
        <x:v>644030.0479181202</x:v>
      </x:c>
      <x:c r="F11" s="50" t="n">
        <x:f>F6-F8-F9-F10</x:f>
        <x:v>657910.6488764826</x:v>
      </x:c>
      <x:c r="G11" s="50" t="n">
        <x:f>G6-G8-G9-G10</x:f>
        <x:v>672068.8618540124</x:v>
      </x:c>
    </x:row>
    <x:row r="12">
      <x:c r="A12" s="18" t="str">
        <x:v>Principal legado pago</x:v>
      </x:c>
      <x:c r="B12" s="47" t="n">
        <x:f>SUMIFS('Divida'!$K$24:$K$119,'Divida'!$A$24:$A$119,B$4)</x:f>
        <x:v>1234476</x:v>
      </x:c>
      <x:c r="C12" s="47" t="n">
        <x:f>SUMIFS('Divida'!$K$24:$K$119,'Divida'!$A$24:$A$119,C$4)</x:f>
        <x:v>779804</x:v>
      </x:c>
      <x:c r="D12" s="47" t="n">
        <x:f>SUMIFS('Divida'!$K$24:$K$119,'Divida'!$A$24:$A$119,D$4)</x:f>
        <x:v>1229475</x:v>
      </x:c>
      <x:c r="E12" s="47" t="n">
        <x:f>SUMIFS('Divida'!$K$24:$K$119,'Divida'!$A$24:$A$119,E$4)</x:f>
        <x:v>695013</x:v>
      </x:c>
      <x:c r="F12" s="47" t="n">
        <x:f>SUMIFS('Divida'!$K$24:$K$119,'Divida'!$A$24:$A$119,F$4)</x:f>
        <x:v>1085716.6289020418</x:v>
      </x:c>
      <x:c r="G12" s="47" t="n">
        <x:f>SUMIFS('Divida'!$K$24:$K$119,'Divida'!$A$24:$A$119,G$4)</x:f>
        <x:v>993251.3975661619</x:v>
      </x:c>
    </x:row>
    <x:row r="13">
      <x:c r="A13" s="18" t="str">
        <x:v>Juros legados pagos</x:v>
      </x:c>
      <x:c r="B13" s="47" t="n">
        <x:f>SUMIFS('Divida'!$I$24:$I$119,'Divida'!$A$24:$A$119,B$4)</x:f>
        <x:v>708153.1854298031</x:v>
      </x:c>
      <x:c r="C13" s="47" t="n">
        <x:f>SUMIFS('Divida'!$I$24:$I$119,'Divida'!$A$24:$A$119,C$4)</x:f>
        <x:v>571000.5410032152</x:v>
      </x:c>
      <x:c r="D13" s="47" t="n">
        <x:f>SUMIFS('Divida'!$I$24:$I$119,'Divida'!$A$24:$A$119,D$4)</x:f>
        <x:v>485616.63758945174</x:v>
      </x:c>
      <x:c r="E13" s="47" t="n">
        <x:f>SUMIFS('Divida'!$I$24:$I$119,'Divida'!$A$24:$A$119,E$4)</x:f>
        <x:v>312560.9853925433</x:v>
      </x:c>
      <x:c r="F13" s="47" t="n">
        <x:f>SUMIFS('Divida'!$I$24:$I$119,'Divida'!$A$24:$A$119,F$4)</x:f>
        <x:v>219695.77497379127</x:v>
      </x:c>
      <x:c r="G13" s="47" t="n">
        <x:f>SUMIFS('Divida'!$I$24:$I$119,'Divida'!$A$24:$A$119,G$4)</x:f>
        <x:v>94737.48844448378</x:v>
      </x:c>
    </x:row>
    <x:row r="14">
      <x:c r="A14" s="18" t="str">
        <x:v>Dívida refinanciada inicial</x:v>
      </x:c>
      <x:c r="B14" s="47" t="n">
        <x:f>0</x:f>
        <x:v>0</x:v>
      </x:c>
      <x:c r="C14" s="47" t="n">
        <x:f>B17</x:f>
        <x:v>1234476</x:v>
      </x:c>
      <x:c r="D14" s="47" t="n">
        <x:f>C17</x:f>
        <x:v>2014280</x:v>
      </x:c>
      <x:c r="E14" s="47" t="n">
        <x:f>D17</x:f>
        <x:v>3243755</x:v>
      </x:c>
      <x:c r="F14" s="47" t="n">
        <x:f>E17</x:f>
        <x:v>3938768</x:v>
      </x:c>
      <x:c r="G14" s="47" t="n">
        <x:f>F17</x:f>
        <x:v>5024484.628902042</x:v>
      </x:c>
    </x:row>
    <x:row r="15">
      <x:c r="A15" s="18" t="str">
        <x:v>Juros da dívida refinanciada</x:v>
      </x:c>
      <x:c r="B15" s="47" t="n">
        <x:f>B14*'Premissas'!C51</x:f>
        <x:v>0</x:v>
      </x:c>
      <x:c r="C15" s="47" t="n">
        <x:f>C14*'Premissas'!D51</x:f>
        <x:v>190232.75160000002</x:v>
      </x:c>
      <x:c r="D15" s="47" t="n">
        <x:f>D14*'Premissas'!E51</x:f>
        <x:v>310400.548</x:v>
      </x:c>
      <x:c r="E15" s="47" t="n">
        <x:f>E14*'Premissas'!F51</x:f>
        <x:v>499862.64550000004</x:v>
      </x:c>
      <x:c r="F15" s="47" t="n">
        <x:f>F14*'Premissas'!G51</x:f>
        <x:v>606964.1488000001</x:v>
      </x:c>
      <x:c r="G15" s="47" t="n">
        <x:f>G14*'Premissas'!H51</x:f>
        <x:v>774273.0813138048</x:v>
      </x:c>
    </x:row>
    <x:row r="16">
      <x:c r="A16" s="18" t="str">
        <x:v>Captação para refinanciamento</x:v>
      </x:c>
      <x:c r="B16" s="47" t="n">
        <x:f>B12*'Premissas'!C35</x:f>
        <x:v>1234476</x:v>
      </x:c>
      <x:c r="C16" s="47" t="n">
        <x:f>C12*'Premissas'!D35</x:f>
        <x:v>779804</x:v>
      </x:c>
      <x:c r="D16" s="47" t="n">
        <x:f>D12*'Premissas'!E35</x:f>
        <x:v>1229475</x:v>
      </x:c>
      <x:c r="E16" s="47" t="n">
        <x:f>E12*'Premissas'!F35</x:f>
        <x:v>695013</x:v>
      </x:c>
      <x:c r="F16" s="47" t="n">
        <x:f>F12*'Premissas'!G35</x:f>
        <x:v>1085716.6289020418</x:v>
      </x:c>
      <x:c r="G16" s="47" t="n">
        <x:f>G12*'Premissas'!H35</x:f>
        <x:v>993251.3975661619</x:v>
      </x:c>
    </x:row>
    <x:row r="17">
      <x:c r="A17" s="44" t="str">
        <x:v>Dívida refinanciada final</x:v>
      </x:c>
      <x:c r="B17" s="45" t="n">
        <x:f>B14+B16</x:f>
        <x:v>1234476</x:v>
      </x:c>
      <x:c r="C17" s="45" t="n">
        <x:f>C14+C16</x:f>
        <x:v>2014280</x:v>
      </x:c>
      <x:c r="D17" s="45" t="n">
        <x:f>D14+D16</x:f>
        <x:v>3243755</x:v>
      </x:c>
      <x:c r="E17" s="45" t="n">
        <x:f>E14+E16</x:f>
        <x:v>3938768</x:v>
      </x:c>
      <x:c r="F17" s="45" t="n">
        <x:f>F14+F16</x:f>
        <x:v>5024484.628902042</x:v>
      </x:c>
      <x:c r="G17" s="45" t="n">
        <x:f>G14+G16</x:f>
        <x:v>6017736.026468204</x:v>
      </x:c>
    </x:row>
    <x:row r="18">
      <x:c r="A18" s="18" t="str">
        <x:v>Arrendamentos</x:v>
      </x:c>
      <x:c r="B18" s="47" t="n">
        <x:f>'Premissas'!C27</x:f>
        <x:v>60000</x:v>
      </x:c>
      <x:c r="C18" s="47" t="n">
        <x:f>'Premissas'!D27</x:f>
        <x:v>60000</x:v>
      </x:c>
      <x:c r="D18" s="47" t="n">
        <x:f>'Premissas'!E27</x:f>
        <x:v>60000</x:v>
      </x:c>
      <x:c r="E18" s="47" t="n">
        <x:f>'Premissas'!F27</x:f>
        <x:v>60000</x:v>
      </x:c>
      <x:c r="F18" s="47" t="n">
        <x:f>'Premissas'!G27</x:f>
        <x:v>60000</x:v>
      </x:c>
      <x:c r="G18" s="47" t="n">
        <x:f>'Premissas'!H27</x:f>
        <x:v>60000</x:v>
      </x:c>
    </x:row>
    <x:row r="19">
      <x:c r="A19" s="18" t="str">
        <x:v>Dividendos</x:v>
      </x:c>
      <x:c r="B19" s="47" t="n">
        <x:f>'Premissas'!C31</x:f>
        <x:v>90000</x:v>
      </x:c>
      <x:c r="C19" s="47" t="n">
        <x:f>'Premissas'!D31</x:f>
        <x:v>91800</x:v>
      </x:c>
      <x:c r="D19" s="47" t="n">
        <x:f>'Premissas'!E31</x:f>
        <x:v>93636</x:v>
      </x:c>
      <x:c r="E19" s="47" t="n">
        <x:f>'Premissas'!F31</x:f>
        <x:v>95508.72</x:v>
      </x:c>
      <x:c r="F19" s="47" t="n">
        <x:f>'Premissas'!G31</x:f>
        <x:v>97418.8944</x:v>
      </x:c>
      <x:c r="G19" s="47" t="n">
        <x:f>'Premissas'!H31</x:f>
        <x:v>99367.272288</x:v>
      </x:c>
    </x:row>
    <x:row r="20">
      <x:c r="A20" s="44" t="str">
        <x:v>Serviço total da dívida</x:v>
      </x:c>
      <x:c r="B20" s="45" t="n">
        <x:f>B12+B13+B15</x:f>
        <x:v>1942629.185429803</x:v>
      </x:c>
      <x:c r="C20" s="45" t="n">
        <x:f>C12+C13+C15</x:f>
        <x:v>1541037.2926032152</x:v>
      </x:c>
      <x:c r="D20" s="45" t="n">
        <x:f>D12+D13+D15</x:f>
        <x:v>2025492.1855894518</x:v>
      </x:c>
      <x:c r="E20" s="45" t="n">
        <x:f>E12+E13+E15</x:f>
        <x:v>1507436.6308925434</x:v>
      </x:c>
      <x:c r="F20" s="45" t="n">
        <x:f>F12+F13+F15</x:f>
        <x:v>1912376.5526758332</x:v>
      </x:c>
      <x:c r="G20" s="45" t="n">
        <x:f>G12+G13+G15</x:f>
        <x:v>1862261.9673244506</x:v>
      </x:c>
    </x:row>
    <x:row r="21">
      <x:c r="A21" s="44" t="str">
        <x:v>Usos de caixa</x:v>
      </x:c>
      <x:c r="B21" s="45" t="n">
        <x:f>B20+B18+B19</x:f>
        <x:v>2092629.185429803</x:v>
      </x:c>
      <x:c r="C21" s="45" t="n">
        <x:f>C20+C18+C19</x:f>
        <x:v>1692837.2926032152</x:v>
      </x:c>
      <x:c r="D21" s="45" t="n">
        <x:f>D20+D18+D19</x:f>
        <x:v>2179128.185589452</x:v>
      </x:c>
      <x:c r="E21" s="45" t="n">
        <x:f>E20+E18+E19</x:f>
        <x:v>1662945.3508925433</x:v>
      </x:c>
      <x:c r="F21" s="45" t="n">
        <x:f>F20+F18+F19</x:f>
        <x:v>2069795.4470758333</x:v>
      </x:c>
      <x:c r="G21" s="45" t="n">
        <x:f>G20+G18+G19</x:f>
        <x:v>2021629.2396124506</x:v>
      </x:c>
    </x:row>
    <x:row r="22">
      <x:c r="A22" s="18" t="str">
        <x:v>Caixa inicial</x:v>
      </x:c>
      <x:c r="B22" s="47" t="n">
        <x:f>1430714</x:f>
        <x:v>1430714</x:v>
      </x:c>
      <x:c r="C22" s="47" t="n">
        <x:f>B24</x:f>
        <x:v>956560.829570197</x:v>
      </x:c>
      <x:c r="D22" s="47" t="n">
        <x:f>C24</x:f>
        <x:v>660607.5522669819</x:v>
      </x:c>
      <x:c r="E22" s="47" t="n">
        <x:f>D24</x:f>
        <x:v>341375.9822835303</x:v>
      </x:c>
      <x:c r="F22" s="47" t="n">
        <x:f>E24</x:f>
        <x:v>17473.67930910713</x:v>
      </x:c>
      <x:c r="G22" s="47" t="n">
        <x:f>F24</x:f>
        <x:v>-308694.48998820176</x:v>
      </x:c>
    </x:row>
    <x:row r="23">
      <x:c r="A23" s="44" t="str">
        <x:v>Fontes de caixa</x:v>
      </x:c>
      <x:c r="B23" s="45" t="n">
        <x:f>B22+B11+B16</x:f>
        <x:v>3049190.015</x:v>
      </x:c>
      <x:c r="C23" s="45" t="n">
        <x:f>C22+C11+C16</x:f>
        <x:v>2353444.844870197</x:v>
      </x:c>
      <x:c r="D23" s="45" t="n">
        <x:f>D22+D11+D16</x:f>
        <x:v>2520504.167872982</x:v>
      </x:c>
      <x:c r="E23" s="45" t="n">
        <x:f>E22+E11+E16</x:f>
        <x:v>1680419.0302016505</x:v>
      </x:c>
      <x:c r="F23" s="45" t="n">
        <x:f>F22+F11+F16</x:f>
        <x:v>1761100.9570876316</x:v>
      </x:c>
      <x:c r="G23" s="45" t="n">
        <x:f>G22+G11+G16</x:f>
        <x:v>1356625.7694319724</x:v>
      </x:c>
    </x:row>
    <x:row r="24">
      <x:c r="A24" s="49" t="str">
        <x:v>Caixa final</x:v>
      </x:c>
      <x:c r="B24" s="50" t="n">
        <x:f>B23-B21</x:f>
        <x:v>956560.829570197</x:v>
      </x:c>
      <x:c r="C24" s="50" t="n">
        <x:f>C23-C21</x:f>
        <x:v>660607.5522669819</x:v>
      </x:c>
      <x:c r="D24" s="50" t="n">
        <x:f>D23-D21</x:f>
        <x:v>341375.9822835303</x:v>
      </x:c>
      <x:c r="E24" s="50" t="n">
        <x:f>E23-E21</x:f>
        <x:v>17473.67930910713</x:v>
      </x:c>
      <x:c r="F24" s="50" t="n">
        <x:f>F23-F21</x:f>
        <x:v>-308694.48998820176</x:v>
      </x:c>
      <x:c r="G24" s="50" t="n">
        <x:f>G23-G21</x:f>
        <x:v>-665003.4701804782</x:v>
      </x:c>
    </x:row>
    <x:row r="25">
      <x:c r="A25" s="18" t="str">
        <x:v>Piso de caixa</x:v>
      </x:c>
      <x:c r="B25" s="47" t="n">
        <x:f>900000</x:f>
        <x:v>900000</x:v>
      </x:c>
      <x:c r="C25" s="47" t="n">
        <x:f>900000</x:f>
        <x:v>900000</x:v>
      </x:c>
      <x:c r="D25" s="47" t="n">
        <x:f>900000</x:f>
        <x:v>900000</x:v>
      </x:c>
      <x:c r="E25" s="47" t="n">
        <x:f>900000</x:f>
        <x:v>900000</x:v>
      </x:c>
      <x:c r="F25" s="47" t="n">
        <x:f>900000</x:f>
        <x:v>900000</x:v>
      </x:c>
      <x:c r="G25" s="47" t="n">
        <x:f>900000</x:f>
        <x:v>900000</x:v>
      </x:c>
    </x:row>
    <x:row r="26">
      <x:c r="A26" s="44" t="str">
        <x:v>Folga ao piso</x:v>
      </x:c>
      <x:c r="B26" s="45" t="n">
        <x:f>B24-B25</x:f>
        <x:v>56560.829570197035</x:v>
      </x:c>
      <x:c r="C26" s="45" t="n">
        <x:f>C24-C25</x:f>
        <x:v>-239392.44773301808</x:v>
      </x:c>
      <x:c r="D26" s="45" t="n">
        <x:f>D24-D25</x:f>
        <x:v>-558624.0177164697</x:v>
      </x:c>
      <x:c r="E26" s="45" t="n">
        <x:f>E24-E25</x:f>
        <x:v>-882526.3206908929</x:v>
      </x:c>
      <x:c r="F26" s="45" t="n">
        <x:f>F24-F25</x:f>
        <x:v>-1208694.4899882018</x:v>
      </x:c>
      <x:c r="G26" s="45" t="n">
        <x:f>G24-G25</x:f>
        <x:v>-1565003.4701804782</x:v>
      </x:c>
    </x:row>
    <x:row r="27">
      <x:c r="A27" s="44" t="str">
        <x:v>Cobertura de liquidez</x:v>
      </x:c>
      <x:c r="B27" s="48" t="n">
        <x:f>B23/B21</x:f>
        <x:v>1.4571095711702644</x:v>
      </x:c>
      <x:c r="C27" s="48" t="n">
        <x:f>C23/C21</x:f>
        <x:v>1.3902368852301874</x:v>
      </x:c>
      <x:c r="D27" s="48" t="n">
        <x:f>D23/D21</x:f>
        <x:v>1.1566571368040877</x:v>
      </x:c>
      <x:c r="E27" s="48" t="n">
        <x:f>E23/E21</x:f>
        <x:v>1.0105076689980994</x:v>
      </x:c>
      <x:c r="F27" s="48" t="n">
        <x:f>F23/F21</x:f>
        <x:v>0.8508574891183961</x:v>
      </x:c>
      <x:c r="G27" s="48" t="n">
        <x:f>G23/G21</x:f>
        <x:v>0.6710556727464229</x:v>
      </x:c>
    </x:row>
    <x:row r="28">
      <x:c r="A28" s="44" t="str">
        <x:v>DSCR</x:v>
      </x:c>
      <x:c r="B28" s="48" t="n">
        <x:f>B11/B20</x:f>
        <x:v>0.19767025939901173</x:v>
      </x:c>
      <x:c r="C28" s="48" t="n">
        <x:f>C11/C20</x:f>
        <x:v>0.4004315912806954</x:v>
      </x:c>
      <x:c r="D28" s="48" t="n">
        <x:f>D11/D20</x:f>
        <x:v>0.3112436671398645</x:v>
      </x:c>
      <x:c r="E28" s="48" t="n">
        <x:f>E11/E20</x:f>
        <x:v>0.42723523809872804</x:v>
      </x:c>
      <x:c r="F28" s="48" t="n">
        <x:f>F11/F20</x:f>
        <x:v>0.3440277742141952</x:v>
      </x:c>
      <x:c r="G28" s="48" t="n">
        <x:f>G11/G20</x:f>
        <x:v>0.36088846448364476</x:v>
      </x:c>
    </x:row>
    <x:row r="29">
      <x:c r="A29" s="18" t="str">
        <x:v>Dívida legada final</x:v>
      </x:c>
      <x:c r="B29" s="47" t="n">
        <x:f>SUMIFS('Divida'!$L$24:$L$119,'Divida'!$A$24:$A$119,B$4)</x:f>
        <x:v>4553058.1566</x:v>
      </x:c>
      <x:c r="C29" s="47" t="n">
        <x:f>SUMIFS('Divida'!$L$24:$L$119,'Divida'!$A$24:$A$119,C$4)</x:f>
        <x:v>3818680.4205204016</x:v>
      </x:c>
      <x:c r="D29" s="47" t="n">
        <x:f>SUMIFS('Divida'!$L$24:$L$119,'Divida'!$A$24:$A$119,D$4)</x:f>
        <x:v>2636381.8685912048</x:v>
      </x:c>
      <x:c r="E29" s="47" t="n">
        <x:f>SUMIFS('Divida'!$L$24:$L$119,'Divida'!$A$24:$A$119,E$4)</x:f>
        <x:v>1991106.8360352519</x:v>
      </x:c>
      <x:c r="F29" s="47" t="n">
        <x:f>SUMIFS('Divida'!$L$24:$L$119,'Divida'!$A$24:$A$119,F$4)</x:f>
        <x:v>958247.2644273905</x:v>
      </x:c>
      <x:c r="G29" s="47" t="n">
        <x:f>SUMIFS('Divida'!$L$24:$L$119,'Divida'!$A$24:$A$119,G$4)</x:f>
        <x:v>0</x:v>
      </x:c>
    </x:row>
    <x:row r="30">
      <x:c r="A30" s="44" t="str">
        <x:v>Dívida bruta final</x:v>
      </x:c>
      <x:c r="B30" s="45" t="n">
        <x:f>B29+B17</x:f>
        <x:v>5787534.1566</x:v>
      </x:c>
      <x:c r="C30" s="45" t="n">
        <x:f>C29+C17</x:f>
        <x:v>5832960.420520402</x:v>
      </x:c>
      <x:c r="D30" s="45" t="n">
        <x:f>D29+D17</x:f>
        <x:v>5880136.868591204</x:v>
      </x:c>
      <x:c r="E30" s="45" t="n">
        <x:f>E29+E17</x:f>
        <x:v>5929874.836035252</x:v>
      </x:c>
      <x:c r="F30" s="45" t="n">
        <x:f>F29+F17</x:f>
        <x:v>5982731.893329433</x:v>
      </x:c>
      <x:c r="G30" s="45" t="n">
        <x:f>G29+G17</x:f>
        <x:v>6017736.026468204</x:v>
      </x:c>
    </x:row>
    <x:row r="31">
      <x:c r="A31" s="44" t="str">
        <x:v>Dívida líquida final</x:v>
      </x:c>
      <x:c r="B31" s="45" t="n">
        <x:f>B30-B24</x:f>
        <x:v>4830973.327029804</x:v>
      </x:c>
      <x:c r="C31" s="45" t="n">
        <x:f>C30-C24</x:f>
        <x:v>5172352.868253419</x:v>
      </x:c>
      <x:c r="D31" s="45" t="n">
        <x:f>D30-D24</x:f>
        <x:v>5538760.8863076735</x:v>
      </x:c>
      <x:c r="E31" s="45" t="n">
        <x:f>E30-E24</x:f>
        <x:v>5912401.156726144</x:v>
      </x:c>
      <x:c r="F31" s="45" t="n">
        <x:f>F30-F24</x:f>
        <x:v>6291426.383317634</x:v>
      </x:c>
      <x:c r="G31" s="45" t="n">
        <x:f>G30-G24</x:f>
        <x:v>6682739.496648682</x:v>
      </x:c>
    </x:row>
    <x:row r="32">
      <x:c r="A32" s="44" t="str">
        <x:v>Alavancagem líquida</x:v>
      </x:c>
      <x:c r="B32" s="48" t="n">
        <x:f>B31/B6</x:f>
        <x:v>5.4037732057865835</x:v>
      </x:c>
      <x:c r="C32" s="48" t="n">
        <x:f>C31/C6</x:f>
        <x:v>5.6721857936011055</x:v>
      </x:c>
      <x:c r="D32" s="48" t="n">
        <x:f>D31/D6</x:f>
        <x:v>5.95490375988525</x:v>
      </x:c>
      <x:c r="E32" s="48" t="n">
        <x:f>E31/E6</x:f>
        <x:v>6.231977144636654</x:v>
      </x:c>
      <x:c r="F32" s="48" t="n">
        <x:f>F31/F6</x:f>
        <x:v>6.501460167660658</x:v>
      </x:c>
      <x:c r="G32" s="48" t="n">
        <x:f>G31/G6</x:f>
        <x:v>6.77042836087869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E1824"/>
  </x:sheetPr>
  <x:sheetViews>
    <x:sheetView showGridLines="0" workbookViewId="0">
      <x:pane ySplit="23" topLeftCell="A2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8" hidden="0" customWidth="1"/>
    <x:col min="14" max="14" width="38" hidden="0" customWidth="1"/>
    <x:col min="15" max="15" width="12" hidden="0" customWidth="1"/>
  </x:cols>
  <x:sheetData>
    <x:row r="1" ht="38" customHeight="1">
      <x:c r="A1" s="5" t="str">
        <x:v>Dívida por instrumento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6" customHeight="1">
      <x:c r="A2" s="8" t="str">
        <x:v>Principal contratual, remuneração, vencimentos e cálculo de serviço. Unidade: R$ mil.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>
      <x:c r="A4" s="15" t="str">
        <x:v>ID</x:v>
      </x:c>
      <x:c r="B4" s="15" t="str">
        <x:v>Instrumento</x:v>
      </x:c>
      <x:c r="C4" s="15" t="str">
        <x:v>Saldo contratual</x:v>
      </x:c>
      <x:c r="D4" s="15" t="str">
        <x:v>Moeda</x:v>
      </x:c>
      <x:c r="E4" s="15" t="str">
        <x:v>Vencimento</x:v>
      </x:c>
      <x:c r="F4" s="15" t="str">
        <x:v>Indexador</x:v>
      </x:c>
      <x:c r="G4" s="15" t="str">
        <x:v>Remuneração</x:v>
      </x:c>
      <x:c r="H4" s="15" t="str">
        <x:v>Fonte da taxa</x:v>
      </x:c>
      <x:c r="I4" s="15" t="str">
        <x:v>Garantia</x:v>
      </x:c>
    </x:row>
    <x:row r="5">
      <x:c r="A5" s="33" t="str">
        <x:v>loan-brl</x:v>
      </x:c>
      <x:c r="B5" s="33" t="str">
        <x:v>Capital de giro, moeda nacional</x:v>
      </x:c>
      <x:c r="C5" s="34" t="n">
        <x:v>1314412</x:v>
      </x:c>
      <x:c r="D5" s="33" t="str">
        <x:v>BRL</x:v>
      </x:c>
      <x:c r="E5" s="33" t="str">
        <x:v>Não comprovado</x:v>
      </x:c>
      <x:c r="F5" s="33" t="str">
        <x:v>CDI</x:v>
      </x:c>
      <x:c r="G5" s="33" t="str">
        <x:v>CDI + 1.5000% a.a.</x:v>
      </x:c>
      <x:c r="H5" s="33" t="str">
        <x:v>synthetic</x:v>
      </x:c>
      <x:c r="I5" s="33" t="str">
        <x:v>não comprovada</x:v>
      </x:c>
    </x:row>
    <x:row r="6">
      <x:c r="A6" s="33" t="str">
        <x:v>loan-usd</x:v>
      </x:c>
      <x:c r="B6" s="33" t="str">
        <x:v>Capital de giro, USD</x:v>
      </x:c>
      <x:c r="C6" s="34" t="n">
        <x:v>867244</x:v>
      </x:c>
      <x:c r="D6" s="33" t="str">
        <x:v>USD</x:v>
      </x:c>
      <x:c r="E6" s="33" t="str">
        <x:v>Não comprovado</x:v>
      </x:c>
      <x:c r="F6" s="33" t="str">
        <x:v>SOFR</x:v>
      </x:c>
      <x:c r="G6" s="33" t="str">
        <x:v>SOFR + 2% a.a.</x:v>
      </x:c>
      <x:c r="H6" s="33" t="str">
        <x:v>synthetic</x:v>
      </x:c>
      <x:c r="I6" s="33" t="str">
        <x:v>garantia da controladora, sem individualização</x:v>
      </x:c>
    </x:row>
    <x:row r="7">
      <x:c r="A7" s="33" t="str">
        <x:v>loan-clp</x:v>
      </x:c>
      <x:c r="B7" s="33" t="str">
        <x:v>Capital de giro, CLP</x:v>
      </x:c>
      <x:c r="C7" s="34" t="n">
        <x:v>54180</x:v>
      </x:c>
      <x:c r="D7" s="33" t="str">
        <x:v>CLP</x:v>
      </x:c>
      <x:c r="E7" s="33" t="str">
        <x:v>Não comprovado</x:v>
      </x:c>
      <x:c r="F7" s="33" t="str">
        <x:v>Prefixado</x:v>
      </x:c>
      <x:c r="G7" s="33" t="str">
        <x:v>7.00% a.a.</x:v>
      </x:c>
      <x:c r="H7" s="33" t="str">
        <x:v>synthetic</x:v>
      </x:c>
      <x:c r="I7" s="33" t="str">
        <x:v>garantia da controladora, sem individualização</x:v>
      </x:c>
    </x:row>
    <x:row r="8">
      <x:c r="A8" s="33" t="str">
        <x:v>loan-pen</x:v>
      </x:c>
      <x:c r="B8" s="33" t="str">
        <x:v>Capital de giro, PEN</x:v>
      </x:c>
      <x:c r="C8" s="34" t="n">
        <x:v>181158</x:v>
      </x:c>
      <x:c r="D8" s="33" t="str">
        <x:v>PEN</x:v>
      </x:c>
      <x:c r="E8" s="33" t="str">
        <x:v>Não comprovado</x:v>
      </x:c>
      <x:c r="F8" s="33" t="str">
        <x:v>Prefixado</x:v>
      </x:c>
      <x:c r="G8" s="33" t="str">
        <x:v>7.50% a.a.</x:v>
      </x:c>
      <x:c r="H8" s="33" t="str">
        <x:v>synthetic</x:v>
      </x:c>
      <x:c r="I8" s="33" t="str">
        <x:v>garantia da controladora, sem individualização</x:v>
      </x:c>
    </x:row>
    <x:row r="9">
      <x:c r="A9" s="33" t="str">
        <x:v>deb-11-1</x:v>
      </x:c>
      <x:c r="B9" s="33" t="str">
        <x:v>Debêntures 11ª emissão, 1ª série</x:v>
      </x:c>
      <x:c r="C9" s="34" t="n">
        <x:v>151795</x:v>
      </x:c>
      <x:c r="D9" s="33" t="str">
        <x:v>BRL</x:v>
      </x:c>
      <x:c r="E9" s="33" t="str">
        <x:v>2028-10-30</x:v>
      </x:c>
      <x:c r="F9" s="33" t="str">
        <x:v>CDI</x:v>
      </x:c>
      <x:c r="G9" s="33" t="str">
        <x:v>CDI + 1.5500% a.a.</x:v>
      </x:c>
      <x:c r="H9" s="33" t="str">
        <x:v>public</x:v>
      </x:c>
      <x:c r="I9" s="33" t="str">
        <x:v>quirografária</x:v>
      </x:c>
    </x:row>
    <x:row r="10">
      <x:c r="A10" s="33" t="str">
        <x:v>deb-11-2</x:v>
      </x:c>
      <x:c r="B10" s="33" t="str">
        <x:v>Debêntures 11ª emissão, 2ª série</x:v>
      </x:c>
      <x:c r="C10" s="34" t="n">
        <x:v>505984</x:v>
      </x:c>
      <x:c r="D10" s="33" t="str">
        <x:v>BRL</x:v>
      </x:c>
      <x:c r="E10" s="33" t="str">
        <x:v>2028-10-30</x:v>
      </x:c>
      <x:c r="F10" s="33" t="str">
        <x:v>CDI</x:v>
      </x:c>
      <x:c r="G10" s="33" t="str">
        <x:v>CDI + 1.5500% a.a.</x:v>
      </x:c>
      <x:c r="H10" s="33" t="str">
        <x:v>public</x:v>
      </x:c>
      <x:c r="I10" s="33" t="str">
        <x:v>quirografária</x:v>
      </x:c>
    </x:row>
    <x:row r="11">
      <x:c r="A11" s="33" t="str">
        <x:v>deb-13-1</x:v>
      </x:c>
      <x:c r="B11" s="33" t="str">
        <x:v>Debêntures 13ª emissão, 1ª série</x:v>
      </x:c>
      <x:c r="C11" s="34" t="n">
        <x:v>306038</x:v>
      </x:c>
      <x:c r="D11" s="33" t="str">
        <x:v>BRL</x:v>
      </x:c>
      <x:c r="E11" s="33" t="str">
        <x:v>2028-11-16</x:v>
      </x:c>
      <x:c r="F11" s="33" t="str">
        <x:v>CDI</x:v>
      </x:c>
      <x:c r="G11" s="33" t="str">
        <x:v>CDI + 0.6500% a.a.</x:v>
      </x:c>
      <x:c r="H11" s="33" t="str">
        <x:v>public</x:v>
      </x:c>
      <x:c r="I11" s="33" t="str">
        <x:v>quirografária</x:v>
      </x:c>
    </x:row>
    <x:row r="12">
      <x:c r="A12" s="33" t="str">
        <x:v>deb-13-2</x:v>
      </x:c>
      <x:c r="B12" s="33" t="str">
        <x:v>Debêntures 13ª emissão, 2ª série</x:v>
      </x:c>
      <x:c r="C12" s="34" t="n">
        <x:v>282357</x:v>
      </x:c>
      <x:c r="D12" s="33" t="str">
        <x:v>BRL</x:v>
      </x:c>
      <x:c r="E12" s="33" t="str">
        <x:v>2030-11-18</x:v>
      </x:c>
      <x:c r="F12" s="33" t="str">
        <x:v>IPCA</x:v>
      </x:c>
      <x:c r="G12" s="33" t="str">
        <x:v>IPCA + 6.3416% a.a.</x:v>
      </x:c>
      <x:c r="H12" s="33" t="str">
        <x:v>public</x:v>
      </x:c>
      <x:c r="I12" s="33" t="str">
        <x:v>quirografária</x:v>
      </x:c>
    </x:row>
    <x:row r="13">
      <x:c r="A13" s="33" t="str">
        <x:v>deb-13-3</x:v>
      </x:c>
      <x:c r="B13" s="33" t="str">
        <x:v>Debêntures 13ª emissão, 3ª série</x:v>
      </x:c>
      <x:c r="C13" s="34" t="n">
        <x:v>110321</x:v>
      </x:c>
      <x:c r="D13" s="33" t="str">
        <x:v>BRL</x:v>
      </x:c>
      <x:c r="E13" s="33" t="str">
        <x:v>2033-11-16</x:v>
      </x:c>
      <x:c r="F13" s="33" t="str">
        <x:v>IPCA</x:v>
      </x:c>
      <x:c r="G13" s="33" t="str">
        <x:v>IPCA + 6.5264% a.a.</x:v>
      </x:c>
      <x:c r="H13" s="33" t="str">
        <x:v>public</x:v>
      </x:c>
      <x:c r="I13" s="33" t="str">
        <x:v>quirografária</x:v>
      </x:c>
    </x:row>
    <x:row r="14">
      <x:c r="A14" s="33" t="str">
        <x:v>deb-14-1</x:v>
      </x:c>
      <x:c r="B14" s="33" t="str">
        <x:v>Debêntures 14ª emissão, 1ª série</x:v>
      </x:c>
      <x:c r="C14" s="34" t="n">
        <x:v>438918</x:v>
      </x:c>
      <x:c r="D14" s="33" t="str">
        <x:v>BRL</x:v>
      </x:c>
      <x:c r="E14" s="33" t="str">
        <x:v>2029-06-15</x:v>
      </x:c>
      <x:c r="F14" s="33" t="str">
        <x:v>CDI</x:v>
      </x:c>
      <x:c r="G14" s="33" t="str">
        <x:v>104% CDI</x:v>
      </x:c>
      <x:c r="H14" s="33" t="str">
        <x:v>public</x:v>
      </x:c>
      <x:c r="I14" s="33" t="str">
        <x:v>quirografária</x:v>
      </x:c>
    </x:row>
    <x:row r="15">
      <x:c r="A15" s="33" t="str">
        <x:v>deb-14-2</x:v>
      </x:c>
      <x:c r="B15" s="33" t="str">
        <x:v>Debêntures 14ª emissão, 2ª série</x:v>
      </x:c>
      <x:c r="C15" s="34" t="n">
        <x:v>204059</x:v>
      </x:c>
      <x:c r="D15" s="33" t="str">
        <x:v>BRL</x:v>
      </x:c>
      <x:c r="E15" s="33" t="str">
        <x:v>2031-06-16</x:v>
      </x:c>
      <x:c r="F15" s="33" t="str">
        <x:v>IPCA</x:v>
      </x:c>
      <x:c r="G15" s="33" t="str">
        <x:v>IPCA + 6.8286% a.a.</x:v>
      </x:c>
      <x:c r="H15" s="33" t="str">
        <x:v>public</x:v>
      </x:c>
      <x:c r="I15" s="33" t="str">
        <x:v>quirografária</x:v>
      </x:c>
    </x:row>
    <x:row r="16">
      <x:c r="A16" s="33" t="str">
        <x:v>deb-14-3</x:v>
      </x:c>
      <x:c r="B16" s="33" t="str">
        <x:v>Debêntures 14ª emissão, 3ª série</x:v>
      </x:c>
      <x:c r="C16" s="34" t="n">
        <x:v>66024</x:v>
      </x:c>
      <x:c r="D16" s="33" t="str">
        <x:v>BRL</x:v>
      </x:c>
      <x:c r="E16" s="33" t="str">
        <x:v>2034-06-15</x:v>
      </x:c>
      <x:c r="F16" s="33" t="str">
        <x:v>IPCA</x:v>
      </x:c>
      <x:c r="G16" s="33" t="str">
        <x:v>IPCA + 6.9982% a.a.</x:v>
      </x:c>
      <x:c r="H16" s="33" t="str">
        <x:v>public</x:v>
      </x:c>
      <x:c r="I16" s="33" t="str">
        <x:v>quirografária</x:v>
      </x:c>
    </x:row>
    <x:row r="17">
      <x:c r="A17" s="33" t="str">
        <x:v>deb-15-1</x:v>
      </x:c>
      <x:c r="B17" s="33" t="str">
        <x:v>Debêntures 15ª emissão, 1ª série</x:v>
      </x:c>
      <x:c r="C17" s="34" t="n">
        <x:v>770123</x:v>
      </x:c>
      <x:c r="D17" s="33" t="str">
        <x:v>BRL</x:v>
      </x:c>
      <x:c r="E17" s="33" t="str">
        <x:v>2030-11-18</x:v>
      </x:c>
      <x:c r="F17" s="33" t="str">
        <x:v>CDI</x:v>
      </x:c>
      <x:c r="G17" s="33" t="str">
        <x:v>105% CDI</x:v>
      </x:c>
      <x:c r="H17" s="33" t="str">
        <x:v>public</x:v>
      </x:c>
      <x:c r="I17" s="33" t="str">
        <x:v>quirografária</x:v>
      </x:c>
    </x:row>
    <x:row r="18">
      <x:c r="A18" s="33" t="str">
        <x:v>deb-15-2</x:v>
      </x:c>
      <x:c r="B18" s="33" t="str">
        <x:v>Debêntures 15ª emissão, 2ª série</x:v>
      </x:c>
      <x:c r="C18" s="34" t="n">
        <x:v>408703</x:v>
      </x:c>
      <x:c r="D18" s="33" t="str">
        <x:v>BRL</x:v>
      </x:c>
      <x:c r="E18" s="33" t="str">
        <x:v>2032-11-16</x:v>
      </x:c>
      <x:c r="F18" s="33" t="str">
        <x:v>Prefixado</x:v>
      </x:c>
      <x:c r="G18" s="33" t="str">
        <x:v>14.15% a.a.</x:v>
      </x:c>
      <x:c r="H18" s="33" t="str">
        <x:v>public</x:v>
      </x:c>
      <x:c r="I18" s="33" t="str">
        <x:v>quirografária</x:v>
      </x:c>
    </x:row>
    <x:row r="19">
      <x:c r="A19" s="33" t="str">
        <x:v>deb-15-3</x:v>
      </x:c>
      <x:c r="B19" s="33" t="str">
        <x:v>Debêntures 15ª emissão, 3ª série</x:v>
      </x:c>
      <x:c r="C19" s="34" t="n">
        <x:v>50401</x:v>
      </x:c>
      <x:c r="D19" s="33" t="str">
        <x:v>BRL</x:v>
      </x:c>
      <x:c r="E19" s="33" t="str">
        <x:v>2032-11-16</x:v>
      </x:c>
      <x:c r="F19" s="33" t="str">
        <x:v>IPCA</x:v>
      </x:c>
      <x:c r="G19" s="33" t="str">
        <x:v>IPCA + 8.2000% a.a.</x:v>
      </x:c>
      <x:c r="H19" s="33" t="str">
        <x:v>public</x:v>
      </x:c>
      <x:c r="I19" s="33" t="str">
        <x:v>quirografária</x:v>
      </x:c>
    </x:row>
    <x:row r="20">
      <x:c r="A20" s="33" t="str">
        <x:v>deb-15-4</x:v>
      </x:c>
      <x:c r="B20" s="33" t="str">
        <x:v>Debêntures 15ª emissão, 4ª série</x:v>
      </x:c>
      <x:c r="C20" s="34" t="n">
        <x:v>30793</x:v>
      </x:c>
      <x:c r="D20" s="33" t="str">
        <x:v>BRL</x:v>
      </x:c>
      <x:c r="E20" s="33" t="str">
        <x:v>2035-11-16</x:v>
      </x:c>
      <x:c r="F20" s="33" t="str">
        <x:v>IPCA</x:v>
      </x:c>
      <x:c r="G20" s="33" t="str">
        <x:v>IPCA + 8.7000% a.a.</x:v>
      </x:c>
      <x:c r="H20" s="33" t="str">
        <x:v>public</x:v>
      </x:c>
      <x:c r="I20" s="33" t="str">
        <x:v>quirografária</x:v>
      </x:c>
    </x:row>
    <x:row r="22">
      <x:c r="A22" s="32" t="str">
        <x:v>Cronograma contratual e serviço da dívida</x:v>
      </x:c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</x:row>
    <x:row r="23">
      <x:c r="A23" s="15" t="str">
        <x:v>Período</x:v>
      </x:c>
      <x:c r="B23" s="15" t="str">
        <x:v>ID</x:v>
      </x:c>
      <x:c r="C23" s="15" t="str">
        <x:v>Instrumento</x:v>
      </x:c>
      <x:c r="D23" s="15" t="str">
        <x:v>Indexador</x:v>
      </x:c>
      <x:c r="E23" s="15" t="str">
        <x:v>Saldo inicial</x:v>
      </x:c>
      <x:c r="F23" s="15" t="str">
        <x:v>Taxa indexação</x:v>
      </x:c>
      <x:c r="G23" s="15" t="str">
        <x:v>Correção capitalizada</x:v>
      </x:c>
      <x:c r="H23" s="15" t="str">
        <x:v>Taxa cupom</x:v>
      </x:c>
      <x:c r="I23" s="15" t="str">
        <x:v>Juros caixa</x:v>
      </x:c>
      <x:c r="J23" s="15" t="str">
        <x:v>Principal contratual</x:v>
      </x:c>
      <x:c r="K23" s="15" t="str">
        <x:v>Principal caixa</x:v>
      </x:c>
      <x:c r="L23" s="15" t="str">
        <x:v>Saldo final</x:v>
      </x:c>
      <x:c r="M23" s="15" t="str">
        <x:v>Origem</x:v>
      </x:c>
      <x:c r="N23" s="15" t="str">
        <x:v>Tratamento</x:v>
      </x:c>
      <x:c r="O23" s="15" t="str">
        <x:v>Check</x:v>
      </x:c>
    </x:row>
    <x:row r="24">
      <x:c r="A24" s="33" t="str">
        <x:v>2026/27</x:v>
      </x:c>
      <x:c r="B24" s="33" t="str">
        <x:v>loan-brl</x:v>
      </x:c>
      <x:c r="C24" s="33" t="str">
        <x:v>Capital de giro, moeda nacional</x:v>
      </x:c>
      <x:c r="D24" s="33" t="str">
        <x:v>CDI</x:v>
      </x:c>
      <x:c r="E24" s="34" t="n">
        <x:f>C5</x:f>
        <x:v>1314412</x:v>
      </x:c>
      <x:c r="F24" s="37" t="n">
        <x:f>0</x:f>
        <x:v>0</x:v>
      </x:c>
      <x:c r="G24" s="37" t="n">
        <x:f>E24*F24</x:f>
        <x:v>0</x:v>
      </x:c>
      <x:c r="H24" s="37" t="n">
        <x:f>'Premissas'!C39+0.015</x:f>
        <x:v>0.15410000000000001</x:v>
      </x:c>
      <x:c r="I24" s="34" t="n">
        <x:f>(E24+G24)*H24</x:f>
        <x:v>202550.8892</x:v>
      </x:c>
      <x:c r="J24" s="36" t="n">
        <x:v>671334</x:v>
      </x:c>
      <x:c r="K24" s="34" t="n">
        <x:f>J24</x:f>
        <x:v>671334</x:v>
      </x:c>
      <x:c r="L24" s="34" t="n">
        <x:f>E24+G24-K24</x:f>
        <x:v>643078</x:v>
      </x:c>
      <x:c r="M24" s="33" t="str">
        <x:v>SRC-04/SRC-07</x:v>
      </x:c>
      <x:c r="N24" s="33" t="str">
        <x:v>Juros pagos; principal conforme cronograma</x:v>
      </x:c>
      <x:c r="O24" s="33" t="str">
        <x:f>IF(ABS(L24)&lt;1,"OK",IF(L24&lt;0,"ERRO","ABERTO"))</x:f>
        <x:v>ABERTO</x:v>
      </x:c>
    </x:row>
    <x:row r="25">
      <x:c r="A25" s="33" t="str">
        <x:v>2027/28</x:v>
      </x:c>
      <x:c r="B25" s="33" t="str">
        <x:v>loan-brl</x:v>
      </x:c>
      <x:c r="C25" s="33" t="str">
        <x:v>Capital de giro, moeda nacional</x:v>
      </x:c>
      <x:c r="D25" s="33" t="str">
        <x:v>CDI</x:v>
      </x:c>
      <x:c r="E25" s="34" t="n">
        <x:f>L24</x:f>
        <x:v>643078</x:v>
      </x:c>
      <x:c r="F25" s="37" t="n">
        <x:f>0</x:f>
        <x:v>0</x:v>
      </x:c>
      <x:c r="G25" s="37" t="n">
        <x:f>E25*F25</x:f>
        <x:v>0</x:v>
      </x:c>
      <x:c r="H25" s="37" t="n">
        <x:f>'Premissas'!D39+0.015</x:f>
        <x:v>0.15410000000000001</x:v>
      </x:c>
      <x:c r="I25" s="34" t="n">
        <x:f>(E25+G25)*H25</x:f>
        <x:v>99098.31980000001</x:v>
      </x:c>
      <x:c r="J25" s="36" t="n">
        <x:v>424074</x:v>
      </x:c>
      <x:c r="K25" s="34" t="n">
        <x:f>J25</x:f>
        <x:v>424074</x:v>
      </x:c>
      <x:c r="L25" s="34" t="n">
        <x:f>E25+G25-K25</x:f>
        <x:v>219004</x:v>
      </x:c>
      <x:c r="M25" s="33" t="str">
        <x:v>SRC-04/SRC-07</x:v>
      </x:c>
      <x:c r="N25" s="33" t="str">
        <x:v>Juros pagos; principal conforme cronograma</x:v>
      </x:c>
      <x:c r="O25" s="33" t="str">
        <x:f>IF(ABS(L25)&lt;1,"OK",IF(L25&lt;0,"ERRO","ABERTO"))</x:f>
        <x:v>ABERTO</x:v>
      </x:c>
    </x:row>
    <x:row r="26">
      <x:c r="A26" s="33" t="str">
        <x:v>2028/29</x:v>
      </x:c>
      <x:c r="B26" s="33" t="str">
        <x:v>loan-brl</x:v>
      </x:c>
      <x:c r="C26" s="33" t="str">
        <x:v>Capital de giro, moeda nacional</x:v>
      </x:c>
      <x:c r="D26" s="33" t="str">
        <x:v>CDI</x:v>
      </x:c>
      <x:c r="E26" s="34" t="n">
        <x:f>L25</x:f>
        <x:v>219004</x:v>
      </x:c>
      <x:c r="F26" s="37" t="n">
        <x:f>0</x:f>
        <x:v>0</x:v>
      </x:c>
      <x:c r="G26" s="37" t="n">
        <x:f>E26*F26</x:f>
        <x:v>0</x:v>
      </x:c>
      <x:c r="H26" s="37" t="n">
        <x:f>'Premissas'!E39+0.015</x:f>
        <x:v>0.15410000000000001</x:v>
      </x:c>
      <x:c r="I26" s="34" t="n">
        <x:f>(E26+G26)*H26</x:f>
        <x:v>33748.5164</x:v>
      </x:c>
      <x:c r="J26" s="36" t="n">
        <x:v>144470</x:v>
      </x:c>
      <x:c r="K26" s="34" t="n">
        <x:f>J26</x:f>
        <x:v>144470</x:v>
      </x:c>
      <x:c r="L26" s="34" t="n">
        <x:f>E26+G26-K26</x:f>
        <x:v>74534</x:v>
      </x:c>
      <x:c r="M26" s="33" t="str">
        <x:v>SRC-04/SRC-07</x:v>
      </x:c>
      <x:c r="N26" s="33" t="str">
        <x:v>Juros pagos; principal conforme cronograma</x:v>
      </x:c>
      <x:c r="O26" s="33" t="str">
        <x:f>IF(ABS(L26)&lt;1,"OK",IF(L26&lt;0,"ERRO","ABERTO"))</x:f>
        <x:v>ABERTO</x:v>
      </x:c>
    </x:row>
    <x:row r="27">
      <x:c r="A27" s="33" t="str">
        <x:v>2029/30</x:v>
      </x:c>
      <x:c r="B27" s="33" t="str">
        <x:v>loan-brl</x:v>
      </x:c>
      <x:c r="C27" s="33" t="str">
        <x:v>Capital de giro, moeda nacional</x:v>
      </x:c>
      <x:c r="D27" s="33" t="str">
        <x:v>CDI</x:v>
      </x:c>
      <x:c r="E27" s="34" t="n">
        <x:f>L26</x:f>
        <x:v>74534</x:v>
      </x:c>
      <x:c r="F27" s="37" t="n">
        <x:f>0</x:f>
        <x:v>0</x:v>
      </x:c>
      <x:c r="G27" s="37" t="n">
        <x:f>E27*F27</x:f>
        <x:v>0</x:v>
      </x:c>
      <x:c r="H27" s="37" t="n">
        <x:f>'Premissas'!F39+0.015</x:f>
        <x:v>0.15410000000000001</x:v>
      </x:c>
      <x:c r="I27" s="34" t="n">
        <x:f>(E27+G27)*H27</x:f>
        <x:v>11485.689400000001</x:v>
      </x:c>
      <x:c r="J27" s="36" t="n">
        <x:v>74534</x:v>
      </x:c>
      <x:c r="K27" s="34" t="n">
        <x:f>J27</x:f>
        <x:v>74534</x:v>
      </x:c>
      <x:c r="L27" s="34" t="n">
        <x:f>E27+G27-K27</x:f>
        <x:v>0</x:v>
      </x:c>
      <x:c r="M27" s="33" t="str">
        <x:v>SRC-04/SRC-07</x:v>
      </x:c>
      <x:c r="N27" s="33" t="str">
        <x:v>Juros pagos; principal conforme cronograma</x:v>
      </x:c>
      <x:c r="O27" s="33" t="str">
        <x:f>IF(ABS(L27)&lt;1,"OK",IF(L27&lt;0,"ERRO","ABERTO"))</x:f>
        <x:v>OK</x:v>
      </x:c>
    </x:row>
    <x:row r="28">
      <x:c r="A28" s="33" t="str">
        <x:v>2030/31</x:v>
      </x:c>
      <x:c r="B28" s="33" t="str">
        <x:v>loan-brl</x:v>
      </x:c>
      <x:c r="C28" s="33" t="str">
        <x:v>Capital de giro, moeda nacional</x:v>
      </x:c>
      <x:c r="D28" s="33" t="str">
        <x:v>CDI</x:v>
      </x:c>
      <x:c r="E28" s="34" t="n">
        <x:f>L27</x:f>
        <x:v>0</x:v>
      </x:c>
      <x:c r="F28" s="37" t="n">
        <x:f>0</x:f>
        <x:v>0</x:v>
      </x:c>
      <x:c r="G28" s="37" t="n">
        <x:f>E28*F28</x:f>
        <x:v>0</x:v>
      </x:c>
      <x:c r="H28" s="37" t="n">
        <x:f>'Premissas'!G39+0.015</x:f>
        <x:v>0.15410000000000001</x:v>
      </x:c>
      <x:c r="I28" s="34" t="n">
        <x:f>(E28+G28)*H28</x:f>
        <x:v>0</x:v>
      </x:c>
      <x:c r="J28" s="36" t="n">
        <x:v>0</x:v>
      </x:c>
      <x:c r="K28" s="34" t="n">
        <x:f>J28</x:f>
        <x:v>0</x:v>
      </x:c>
      <x:c r="L28" s="34" t="n">
        <x:f>E28+G28-K28</x:f>
        <x:v>0</x:v>
      </x:c>
      <x:c r="M28" s="33" t="str">
        <x:v>SRC-04/SRC-07</x:v>
      </x:c>
      <x:c r="N28" s="33" t="str">
        <x:v>Juros pagos; principal conforme cronograma</x:v>
      </x:c>
      <x:c r="O28" s="33" t="str">
        <x:f>IF(ABS(L28)&lt;1,"OK",IF(L28&lt;0,"ERRO","ABERTO"))</x:f>
        <x:v>OK</x:v>
      </x:c>
    </x:row>
    <x:row r="29">
      <x:c r="A29" s="33" t="str">
        <x:v>Após 2031</x:v>
      </x:c>
      <x:c r="B29" s="33" t="str">
        <x:v>loan-brl</x:v>
      </x:c>
      <x:c r="C29" s="33" t="str">
        <x:v>Capital de giro, moeda nacional</x:v>
      </x:c>
      <x:c r="D29" s="33" t="str">
        <x:v>CDI</x:v>
      </x:c>
      <x:c r="E29" s="34" t="n">
        <x:f>L28</x:f>
        <x:v>0</x:v>
      </x:c>
      <x:c r="F29" s="37" t="n">
        <x:f>0</x:f>
        <x:v>0</x:v>
      </x:c>
      <x:c r="G29" s="37" t="n">
        <x:f>E29*F29</x:f>
        <x:v>0</x:v>
      </x:c>
      <x:c r="H29" s="37" t="n">
        <x:f>'Premissas'!H39+0.015</x:f>
        <x:v>0.15410000000000001</x:v>
      </x:c>
      <x:c r="I29" s="34" t="n">
        <x:f>(E29+G29)*H29</x:f>
        <x:v>0</x:v>
      </x:c>
      <x:c r="J29" s="36" t="n">
        <x:v>0</x:v>
      </x:c>
      <x:c r="K29" s="34" t="n">
        <x:f>J29</x:f>
        <x:v>0</x:v>
      </x:c>
      <x:c r="L29" s="34" t="n">
        <x:f>E29+G29-K29</x:f>
        <x:v>0</x:v>
      </x:c>
      <x:c r="M29" s="33" t="str">
        <x:v>SRC-04/SRC-07</x:v>
      </x:c>
      <x:c r="N29" s="33" t="str">
        <x:v>Juros pagos; principal conforme cronograma</x:v>
      </x:c>
      <x:c r="O29" s="33" t="str">
        <x:f>IF(ABS(L29)&lt;1,"OK",IF(L29&lt;0,"ERRO","ABERTO"))</x:f>
        <x:v>OK</x:v>
      </x:c>
    </x:row>
    <x:row r="30">
      <x:c r="A30" s="33" t="str">
        <x:v>2026/27</x:v>
      </x:c>
      <x:c r="B30" s="33" t="str">
        <x:v>loan-usd</x:v>
      </x:c>
      <x:c r="C30" s="33" t="str">
        <x:v>Capital de giro, USD</x:v>
      </x:c>
      <x:c r="D30" s="33" t="str">
        <x:v>SOFR</x:v>
      </x:c>
      <x:c r="E30" s="34" t="n">
        <x:f>C6</x:f>
        <x:v>867244</x:v>
      </x:c>
      <x:c r="F30" s="37" t="n">
        <x:f>0</x:f>
        <x:v>0</x:v>
      </x:c>
      <x:c r="G30" s="37" t="n">
        <x:f>E30*F30</x:f>
        <x:v>0</x:v>
      </x:c>
      <x:c r="H30" s="37" t="n">
        <x:f>'Premissas'!C47+0.02</x:f>
        <x:v>0.063</x:v>
      </x:c>
      <x:c r="I30" s="34" t="n">
        <x:f>(E30+G30)*H30</x:f>
        <x:v>54636.372</x:v>
      </x:c>
      <x:c r="J30" s="36" t="n">
        <x:v>442944</x:v>
      </x:c>
      <x:c r="K30" s="34" t="n">
        <x:f>J30</x:f>
        <x:v>442944</x:v>
      </x:c>
      <x:c r="L30" s="34" t="n">
        <x:f>E30+G30-K30</x:f>
        <x:v>424300</x:v>
      </x:c>
      <x:c r="M30" s="33" t="str">
        <x:v>SRC-04/SRC-07</x:v>
      </x:c>
      <x:c r="N30" s="33" t="str">
        <x:v>Juros pagos; principal conforme cronograma</x:v>
      </x:c>
      <x:c r="O30" s="33" t="str">
        <x:f>IF(ABS(L30)&lt;1,"OK",IF(L30&lt;0,"ERRO","ABERTO"))</x:f>
        <x:v>ABERTO</x:v>
      </x:c>
    </x:row>
    <x:row r="31">
      <x:c r="A31" s="33" t="str">
        <x:v>2027/28</x:v>
      </x:c>
      <x:c r="B31" s="33" t="str">
        <x:v>loan-usd</x:v>
      </x:c>
      <x:c r="C31" s="33" t="str">
        <x:v>Capital de giro, USD</x:v>
      </x:c>
      <x:c r="D31" s="33" t="str">
        <x:v>SOFR</x:v>
      </x:c>
      <x:c r="E31" s="34" t="n">
        <x:f>L30</x:f>
        <x:v>424300</x:v>
      </x:c>
      <x:c r="F31" s="37" t="n">
        <x:f>0</x:f>
        <x:v>0</x:v>
      </x:c>
      <x:c r="G31" s="37" t="n">
        <x:f>E31*F31</x:f>
        <x:v>0</x:v>
      </x:c>
      <x:c r="H31" s="37" t="n">
        <x:f>'Premissas'!D47+0.02</x:f>
        <x:v>0.063</x:v>
      </x:c>
      <x:c r="I31" s="34" t="n">
        <x:f>(E31+G31)*H31</x:f>
        <x:v>26730.9</x:v>
      </x:c>
      <x:c r="J31" s="36" t="n">
        <x:v>279802</x:v>
      </x:c>
      <x:c r="K31" s="34" t="n">
        <x:f>J31</x:f>
        <x:v>279802</x:v>
      </x:c>
      <x:c r="L31" s="34" t="n">
        <x:f>E31+G31-K31</x:f>
        <x:v>144498</x:v>
      </x:c>
      <x:c r="M31" s="33" t="str">
        <x:v>SRC-04/SRC-07</x:v>
      </x:c>
      <x:c r="N31" s="33" t="str">
        <x:v>Juros pagos; principal conforme cronograma</x:v>
      </x:c>
      <x:c r="O31" s="33" t="str">
        <x:f>IF(ABS(L31)&lt;1,"OK",IF(L31&lt;0,"ERRO","ABERTO"))</x:f>
        <x:v>ABERTO</x:v>
      </x:c>
    </x:row>
    <x:row r="32">
      <x:c r="A32" s="33" t="str">
        <x:v>2028/29</x:v>
      </x:c>
      <x:c r="B32" s="33" t="str">
        <x:v>loan-usd</x:v>
      </x:c>
      <x:c r="C32" s="33" t="str">
        <x:v>Capital de giro, USD</x:v>
      </x:c>
      <x:c r="D32" s="33" t="str">
        <x:v>SOFR</x:v>
      </x:c>
      <x:c r="E32" s="34" t="n">
        <x:f>L31</x:f>
        <x:v>144498</x:v>
      </x:c>
      <x:c r="F32" s="37" t="n">
        <x:f>0</x:f>
        <x:v>0</x:v>
      </x:c>
      <x:c r="G32" s="37" t="n">
        <x:f>E32*F32</x:f>
        <x:v>0</x:v>
      </x:c>
      <x:c r="H32" s="37" t="n">
        <x:f>'Premissas'!E47+0.02</x:f>
        <x:v>0.063</x:v>
      </x:c>
      <x:c r="I32" s="34" t="n">
        <x:f>(E32+G32)*H32</x:f>
        <x:v>9103.374</x:v>
      </x:c>
      <x:c r="J32" s="36" t="n">
        <x:v>95321</x:v>
      </x:c>
      <x:c r="K32" s="34" t="n">
        <x:f>J32</x:f>
        <x:v>95321</x:v>
      </x:c>
      <x:c r="L32" s="34" t="n">
        <x:f>E32+G32-K32</x:f>
        <x:v>49177</x:v>
      </x:c>
      <x:c r="M32" s="33" t="str">
        <x:v>SRC-04/SRC-07</x:v>
      </x:c>
      <x:c r="N32" s="33" t="str">
        <x:v>Juros pagos; principal conforme cronograma</x:v>
      </x:c>
      <x:c r="O32" s="33" t="str">
        <x:f>IF(ABS(L32)&lt;1,"OK",IF(L32&lt;0,"ERRO","ABERTO"))</x:f>
        <x:v>ABERTO</x:v>
      </x:c>
    </x:row>
    <x:row r="33">
      <x:c r="A33" s="33" t="str">
        <x:v>2029/30</x:v>
      </x:c>
      <x:c r="B33" s="33" t="str">
        <x:v>loan-usd</x:v>
      </x:c>
      <x:c r="C33" s="33" t="str">
        <x:v>Capital de giro, USD</x:v>
      </x:c>
      <x:c r="D33" s="33" t="str">
        <x:v>SOFR</x:v>
      </x:c>
      <x:c r="E33" s="34" t="n">
        <x:f>L32</x:f>
        <x:v>49177</x:v>
      </x:c>
      <x:c r="F33" s="37" t="n">
        <x:f>0</x:f>
        <x:v>0</x:v>
      </x:c>
      <x:c r="G33" s="37" t="n">
        <x:f>E33*F33</x:f>
        <x:v>0</x:v>
      </x:c>
      <x:c r="H33" s="37" t="n">
        <x:f>'Premissas'!F47+0.02</x:f>
        <x:v>0.063</x:v>
      </x:c>
      <x:c r="I33" s="34" t="n">
        <x:f>(E33+G33)*H33</x:f>
        <x:v>3098.151</x:v>
      </x:c>
      <x:c r="J33" s="36" t="n">
        <x:v>49177</x:v>
      </x:c>
      <x:c r="K33" s="34" t="n">
        <x:f>J33</x:f>
        <x:v>49177</x:v>
      </x:c>
      <x:c r="L33" s="34" t="n">
        <x:f>E33+G33-K33</x:f>
        <x:v>0</x:v>
      </x:c>
      <x:c r="M33" s="33" t="str">
        <x:v>SRC-04/SRC-07</x:v>
      </x:c>
      <x:c r="N33" s="33" t="str">
        <x:v>Juros pagos; principal conforme cronograma</x:v>
      </x:c>
      <x:c r="O33" s="33" t="str">
        <x:f>IF(ABS(L33)&lt;1,"OK",IF(L33&lt;0,"ERRO","ABERTO"))</x:f>
        <x:v>OK</x:v>
      </x:c>
    </x:row>
    <x:row r="34">
      <x:c r="A34" s="33" t="str">
        <x:v>2030/31</x:v>
      </x:c>
      <x:c r="B34" s="33" t="str">
        <x:v>loan-usd</x:v>
      </x:c>
      <x:c r="C34" s="33" t="str">
        <x:v>Capital de giro, USD</x:v>
      </x:c>
      <x:c r="D34" s="33" t="str">
        <x:v>SOFR</x:v>
      </x:c>
      <x:c r="E34" s="34" t="n">
        <x:f>L33</x:f>
        <x:v>0</x:v>
      </x:c>
      <x:c r="F34" s="37" t="n">
        <x:f>0</x:f>
        <x:v>0</x:v>
      </x:c>
      <x:c r="G34" s="37" t="n">
        <x:f>E34*F34</x:f>
        <x:v>0</x:v>
      </x:c>
      <x:c r="H34" s="37" t="n">
        <x:f>'Premissas'!G47+0.02</x:f>
        <x:v>0.063</x:v>
      </x:c>
      <x:c r="I34" s="34" t="n">
        <x:f>(E34+G34)*H34</x:f>
        <x:v>0</x:v>
      </x:c>
      <x:c r="J34" s="36" t="n">
        <x:v>0</x:v>
      </x:c>
      <x:c r="K34" s="34" t="n">
        <x:f>J34</x:f>
        <x:v>0</x:v>
      </x:c>
      <x:c r="L34" s="34" t="n">
        <x:f>E34+G34-K34</x:f>
        <x:v>0</x:v>
      </x:c>
      <x:c r="M34" s="33" t="str">
        <x:v>SRC-04/SRC-07</x:v>
      </x:c>
      <x:c r="N34" s="33" t="str">
        <x:v>Juros pagos; principal conforme cronograma</x:v>
      </x:c>
      <x:c r="O34" s="33" t="str">
        <x:f>IF(ABS(L34)&lt;1,"OK",IF(L34&lt;0,"ERRO","ABERTO"))</x:f>
        <x:v>OK</x:v>
      </x:c>
    </x:row>
    <x:row r="35">
      <x:c r="A35" s="33" t="str">
        <x:v>Após 2031</x:v>
      </x:c>
      <x:c r="B35" s="33" t="str">
        <x:v>loan-usd</x:v>
      </x:c>
      <x:c r="C35" s="33" t="str">
        <x:v>Capital de giro, USD</x:v>
      </x:c>
      <x:c r="D35" s="33" t="str">
        <x:v>SOFR</x:v>
      </x:c>
      <x:c r="E35" s="34" t="n">
        <x:f>L34</x:f>
        <x:v>0</x:v>
      </x:c>
      <x:c r="F35" s="37" t="n">
        <x:f>0</x:f>
        <x:v>0</x:v>
      </x:c>
      <x:c r="G35" s="37" t="n">
        <x:f>E35*F35</x:f>
        <x:v>0</x:v>
      </x:c>
      <x:c r="H35" s="37" t="n">
        <x:f>'Premissas'!H47+0.02</x:f>
        <x:v>0.063</x:v>
      </x:c>
      <x:c r="I35" s="34" t="n">
        <x:f>(E35+G35)*H35</x:f>
        <x:v>0</x:v>
      </x:c>
      <x:c r="J35" s="36" t="n">
        <x:v>0</x:v>
      </x:c>
      <x:c r="K35" s="34" t="n">
        <x:f>J35</x:f>
        <x:v>0</x:v>
      </x:c>
      <x:c r="L35" s="34" t="n">
        <x:f>E35+G35-K35</x:f>
        <x:v>0</x:v>
      </x:c>
      <x:c r="M35" s="33" t="str">
        <x:v>SRC-04/SRC-07</x:v>
      </x:c>
      <x:c r="N35" s="33" t="str">
        <x:v>Juros pagos; principal conforme cronograma</x:v>
      </x:c>
      <x:c r="O35" s="33" t="str">
        <x:f>IF(ABS(L35)&lt;1,"OK",IF(L35&lt;0,"ERRO","ABERTO"))</x:f>
        <x:v>OK</x:v>
      </x:c>
    </x:row>
    <x:row r="36">
      <x:c r="A36" s="33" t="str">
        <x:v>2026/27</x:v>
      </x:c>
      <x:c r="B36" s="33" t="str">
        <x:v>loan-clp</x:v>
      </x:c>
      <x:c r="C36" s="33" t="str">
        <x:v>Capital de giro, CLP</x:v>
      </x:c>
      <x:c r="D36" s="33" t="str">
        <x:v>Prefixado</x:v>
      </x:c>
      <x:c r="E36" s="34" t="n">
        <x:f>C7</x:f>
        <x:v>54180</x:v>
      </x:c>
      <x:c r="F36" s="37" t="n">
        <x:f>0</x:f>
        <x:v>0</x:v>
      </x:c>
      <x:c r="G36" s="37" t="n">
        <x:f>E36*F36</x:f>
        <x:v>0</x:v>
      </x:c>
      <x:c r="H36" s="37" t="n">
        <x:f>0.07</x:f>
        <x:v>0.07</x:v>
      </x:c>
      <x:c r="I36" s="34" t="n">
        <x:f>(E36+G36)*H36</x:f>
        <x:v>3792.6000000000004</x:v>
      </x:c>
      <x:c r="J36" s="36" t="n">
        <x:v>27672</x:v>
      </x:c>
      <x:c r="K36" s="34" t="n">
        <x:f>J36</x:f>
        <x:v>27672</x:v>
      </x:c>
      <x:c r="L36" s="34" t="n">
        <x:f>E36+G36-K36</x:f>
        <x:v>26508</x:v>
      </x:c>
      <x:c r="M36" s="33" t="str">
        <x:v>SRC-04/SRC-07</x:v>
      </x:c>
      <x:c r="N36" s="33" t="str">
        <x:v>Juros pagos; principal conforme cronograma</x:v>
      </x:c>
      <x:c r="O36" s="33" t="str">
        <x:f>IF(ABS(L36)&lt;1,"OK",IF(L36&lt;0,"ERRO","ABERTO"))</x:f>
        <x:v>ABERTO</x:v>
      </x:c>
    </x:row>
    <x:row r="37">
      <x:c r="A37" s="33" t="str">
        <x:v>2027/28</x:v>
      </x:c>
      <x:c r="B37" s="33" t="str">
        <x:v>loan-clp</x:v>
      </x:c>
      <x:c r="C37" s="33" t="str">
        <x:v>Capital de giro, CLP</x:v>
      </x:c>
      <x:c r="D37" s="33" t="str">
        <x:v>Prefixado</x:v>
      </x:c>
      <x:c r="E37" s="34" t="n">
        <x:f>L36</x:f>
        <x:v>26508</x:v>
      </x:c>
      <x:c r="F37" s="37" t="n">
        <x:f>0</x:f>
        <x:v>0</x:v>
      </x:c>
      <x:c r="G37" s="37" t="n">
        <x:f>E37*F37</x:f>
        <x:v>0</x:v>
      </x:c>
      <x:c r="H37" s="37" t="n">
        <x:f>0.07</x:f>
        <x:v>0.07</x:v>
      </x:c>
      <x:c r="I37" s="34" t="n">
        <x:f>(E37+G37)*H37</x:f>
        <x:v>1855.5600000000002</x:v>
      </x:c>
      <x:c r="J37" s="36" t="n">
        <x:v>17480</x:v>
      </x:c>
      <x:c r="K37" s="34" t="n">
        <x:f>J37</x:f>
        <x:v>17480</x:v>
      </x:c>
      <x:c r="L37" s="34" t="n">
        <x:f>E37+G37-K37</x:f>
        <x:v>9028</x:v>
      </x:c>
      <x:c r="M37" s="33" t="str">
        <x:v>SRC-04/SRC-07</x:v>
      </x:c>
      <x:c r="N37" s="33" t="str">
        <x:v>Juros pagos; principal conforme cronograma</x:v>
      </x:c>
      <x:c r="O37" s="33" t="str">
        <x:f>IF(ABS(L37)&lt;1,"OK",IF(L37&lt;0,"ERRO","ABERTO"))</x:f>
        <x:v>ABERTO</x:v>
      </x:c>
    </x:row>
    <x:row r="38">
      <x:c r="A38" s="33" t="str">
        <x:v>2028/29</x:v>
      </x:c>
      <x:c r="B38" s="33" t="str">
        <x:v>loan-clp</x:v>
      </x:c>
      <x:c r="C38" s="33" t="str">
        <x:v>Capital de giro, CLP</x:v>
      </x:c>
      <x:c r="D38" s="33" t="str">
        <x:v>Prefixado</x:v>
      </x:c>
      <x:c r="E38" s="34" t="n">
        <x:f>L37</x:f>
        <x:v>9028</x:v>
      </x:c>
      <x:c r="F38" s="37" t="n">
        <x:f>0</x:f>
        <x:v>0</x:v>
      </x:c>
      <x:c r="G38" s="37" t="n">
        <x:f>E38*F38</x:f>
        <x:v>0</x:v>
      </x:c>
      <x:c r="H38" s="37" t="n">
        <x:f>0.07</x:f>
        <x:v>0.07</x:v>
      </x:c>
      <x:c r="I38" s="34" t="n">
        <x:f>(E38+G38)*H38</x:f>
        <x:v>631.96</x:v>
      </x:c>
      <x:c r="J38" s="36" t="n">
        <x:v>5956</x:v>
      </x:c>
      <x:c r="K38" s="34" t="n">
        <x:f>J38</x:f>
        <x:v>5956</x:v>
      </x:c>
      <x:c r="L38" s="34" t="n">
        <x:f>E38+G38-K38</x:f>
        <x:v>3072</x:v>
      </x:c>
      <x:c r="M38" s="33" t="str">
        <x:v>SRC-04/SRC-07</x:v>
      </x:c>
      <x:c r="N38" s="33" t="str">
        <x:v>Juros pagos; principal conforme cronograma</x:v>
      </x:c>
      <x:c r="O38" s="33" t="str">
        <x:f>IF(ABS(L38)&lt;1,"OK",IF(L38&lt;0,"ERRO","ABERTO"))</x:f>
        <x:v>ABERTO</x:v>
      </x:c>
    </x:row>
    <x:row r="39">
      <x:c r="A39" s="33" t="str">
        <x:v>2029/30</x:v>
      </x:c>
      <x:c r="B39" s="33" t="str">
        <x:v>loan-clp</x:v>
      </x:c>
      <x:c r="C39" s="33" t="str">
        <x:v>Capital de giro, CLP</x:v>
      </x:c>
      <x:c r="D39" s="33" t="str">
        <x:v>Prefixado</x:v>
      </x:c>
      <x:c r="E39" s="34" t="n">
        <x:f>L38</x:f>
        <x:v>3072</x:v>
      </x:c>
      <x:c r="F39" s="37" t="n">
        <x:f>0</x:f>
        <x:v>0</x:v>
      </x:c>
      <x:c r="G39" s="37" t="n">
        <x:f>E39*F39</x:f>
        <x:v>0</x:v>
      </x:c>
      <x:c r="H39" s="37" t="n">
        <x:f>0.07</x:f>
        <x:v>0.07</x:v>
      </x:c>
      <x:c r="I39" s="34" t="n">
        <x:f>(E39+G39)*H39</x:f>
        <x:v>215.04000000000002</x:v>
      </x:c>
      <x:c r="J39" s="36" t="n">
        <x:v>3072</x:v>
      </x:c>
      <x:c r="K39" s="34" t="n">
        <x:f>J39</x:f>
        <x:v>3072</x:v>
      </x:c>
      <x:c r="L39" s="34" t="n">
        <x:f>E39+G39-K39</x:f>
        <x:v>0</x:v>
      </x:c>
      <x:c r="M39" s="33" t="str">
        <x:v>SRC-04/SRC-07</x:v>
      </x:c>
      <x:c r="N39" s="33" t="str">
        <x:v>Juros pagos; principal conforme cronograma</x:v>
      </x:c>
      <x:c r="O39" s="33" t="str">
        <x:f>IF(ABS(L39)&lt;1,"OK",IF(L39&lt;0,"ERRO","ABERTO"))</x:f>
        <x:v>OK</x:v>
      </x:c>
    </x:row>
    <x:row r="40">
      <x:c r="A40" s="33" t="str">
        <x:v>2030/31</x:v>
      </x:c>
      <x:c r="B40" s="33" t="str">
        <x:v>loan-clp</x:v>
      </x:c>
      <x:c r="C40" s="33" t="str">
        <x:v>Capital de giro, CLP</x:v>
      </x:c>
      <x:c r="D40" s="33" t="str">
        <x:v>Prefixado</x:v>
      </x:c>
      <x:c r="E40" s="34" t="n">
        <x:f>L39</x:f>
        <x:v>0</x:v>
      </x:c>
      <x:c r="F40" s="37" t="n">
        <x:f>0</x:f>
        <x:v>0</x:v>
      </x:c>
      <x:c r="G40" s="37" t="n">
        <x:f>E40*F40</x:f>
        <x:v>0</x:v>
      </x:c>
      <x:c r="H40" s="37" t="n">
        <x:f>0.07</x:f>
        <x:v>0.07</x:v>
      </x:c>
      <x:c r="I40" s="34" t="n">
        <x:f>(E40+G40)*H40</x:f>
        <x:v>0</x:v>
      </x:c>
      <x:c r="J40" s="36" t="n">
        <x:v>0</x:v>
      </x:c>
      <x:c r="K40" s="34" t="n">
        <x:f>J40</x:f>
        <x:v>0</x:v>
      </x:c>
      <x:c r="L40" s="34" t="n">
        <x:f>E40+G40-K40</x:f>
        <x:v>0</x:v>
      </x:c>
      <x:c r="M40" s="33" t="str">
        <x:v>SRC-04/SRC-07</x:v>
      </x:c>
      <x:c r="N40" s="33" t="str">
        <x:v>Juros pagos; principal conforme cronograma</x:v>
      </x:c>
      <x:c r="O40" s="33" t="str">
        <x:f>IF(ABS(L40)&lt;1,"OK",IF(L40&lt;0,"ERRO","ABERTO"))</x:f>
        <x:v>OK</x:v>
      </x:c>
    </x:row>
    <x:row r="41">
      <x:c r="A41" s="33" t="str">
        <x:v>Após 2031</x:v>
      </x:c>
      <x:c r="B41" s="33" t="str">
        <x:v>loan-clp</x:v>
      </x:c>
      <x:c r="C41" s="33" t="str">
        <x:v>Capital de giro, CLP</x:v>
      </x:c>
      <x:c r="D41" s="33" t="str">
        <x:v>Prefixado</x:v>
      </x:c>
      <x:c r="E41" s="34" t="n">
        <x:f>L40</x:f>
        <x:v>0</x:v>
      </x:c>
      <x:c r="F41" s="37" t="n">
        <x:f>0</x:f>
        <x:v>0</x:v>
      </x:c>
      <x:c r="G41" s="37" t="n">
        <x:f>E41*F41</x:f>
        <x:v>0</x:v>
      </x:c>
      <x:c r="H41" s="37" t="n">
        <x:f>0.07</x:f>
        <x:v>0.07</x:v>
      </x:c>
      <x:c r="I41" s="34" t="n">
        <x:f>(E41+G41)*H41</x:f>
        <x:v>0</x:v>
      </x:c>
      <x:c r="J41" s="36" t="n">
        <x:v>0</x:v>
      </x:c>
      <x:c r="K41" s="34" t="n">
        <x:f>J41</x:f>
        <x:v>0</x:v>
      </x:c>
      <x:c r="L41" s="34" t="n">
        <x:f>E41+G41-K41</x:f>
        <x:v>0</x:v>
      </x:c>
      <x:c r="M41" s="33" t="str">
        <x:v>SRC-04/SRC-07</x:v>
      </x:c>
      <x:c r="N41" s="33" t="str">
        <x:v>Juros pagos; principal conforme cronograma</x:v>
      </x:c>
      <x:c r="O41" s="33" t="str">
        <x:f>IF(ABS(L41)&lt;1,"OK",IF(L41&lt;0,"ERRO","ABERTO"))</x:f>
        <x:v>OK</x:v>
      </x:c>
    </x:row>
    <x:row r="42">
      <x:c r="A42" s="33" t="str">
        <x:v>2026/27</x:v>
      </x:c>
      <x:c r="B42" s="33" t="str">
        <x:v>loan-pen</x:v>
      </x:c>
      <x:c r="C42" s="33" t="str">
        <x:v>Capital de giro, PEN</x:v>
      </x:c>
      <x:c r="D42" s="33" t="str">
        <x:v>Prefixado</x:v>
      </x:c>
      <x:c r="E42" s="34" t="n">
        <x:f>C8</x:f>
        <x:v>181158</x:v>
      </x:c>
      <x:c r="F42" s="37" t="n">
        <x:f>0</x:f>
        <x:v>0</x:v>
      </x:c>
      <x:c r="G42" s="37" t="n">
        <x:f>E42*F42</x:f>
        <x:v>0</x:v>
      </x:c>
      <x:c r="H42" s="37" t="n">
        <x:f>0.075</x:f>
        <x:v>0.075</x:v>
      </x:c>
      <x:c r="I42" s="34" t="n">
        <x:f>(E42+G42)*H42</x:f>
        <x:v>13586.85</x:v>
      </x:c>
      <x:c r="J42" s="36" t="n">
        <x:v>92526</x:v>
      </x:c>
      <x:c r="K42" s="34" t="n">
        <x:f>J42</x:f>
        <x:v>92526</x:v>
      </x:c>
      <x:c r="L42" s="34" t="n">
        <x:f>E42+G42-K42</x:f>
        <x:v>88632</x:v>
      </x:c>
      <x:c r="M42" s="33" t="str">
        <x:v>SRC-04/SRC-07</x:v>
      </x:c>
      <x:c r="N42" s="33" t="str">
        <x:v>Juros pagos; principal conforme cronograma</x:v>
      </x:c>
      <x:c r="O42" s="33" t="str">
        <x:f>IF(ABS(L42)&lt;1,"OK",IF(L42&lt;0,"ERRO","ABERTO"))</x:f>
        <x:v>ABERTO</x:v>
      </x:c>
    </x:row>
    <x:row r="43">
      <x:c r="A43" s="33" t="str">
        <x:v>2027/28</x:v>
      </x:c>
      <x:c r="B43" s="33" t="str">
        <x:v>loan-pen</x:v>
      </x:c>
      <x:c r="C43" s="33" t="str">
        <x:v>Capital de giro, PEN</x:v>
      </x:c>
      <x:c r="D43" s="33" t="str">
        <x:v>Prefixado</x:v>
      </x:c>
      <x:c r="E43" s="34" t="n">
        <x:f>L42</x:f>
        <x:v>88632</x:v>
      </x:c>
      <x:c r="F43" s="37" t="n">
        <x:f>0</x:f>
        <x:v>0</x:v>
      </x:c>
      <x:c r="G43" s="37" t="n">
        <x:f>E43*F43</x:f>
        <x:v>0</x:v>
      </x:c>
      <x:c r="H43" s="37" t="n">
        <x:f>0.075</x:f>
        <x:v>0.075</x:v>
      </x:c>
      <x:c r="I43" s="34" t="n">
        <x:f>(E43+G43)*H43</x:f>
        <x:v>6647.4</x:v>
      </x:c>
      <x:c r="J43" s="36" t="n">
        <x:v>58448</x:v>
      </x:c>
      <x:c r="K43" s="34" t="n">
        <x:f>J43</x:f>
        <x:v>58448</x:v>
      </x:c>
      <x:c r="L43" s="34" t="n">
        <x:f>E43+G43-K43</x:f>
        <x:v>30184</x:v>
      </x:c>
      <x:c r="M43" s="33" t="str">
        <x:v>SRC-04/SRC-07</x:v>
      </x:c>
      <x:c r="N43" s="33" t="str">
        <x:v>Juros pagos; principal conforme cronograma</x:v>
      </x:c>
      <x:c r="O43" s="33" t="str">
        <x:f>IF(ABS(L43)&lt;1,"OK",IF(L43&lt;0,"ERRO","ABERTO"))</x:f>
        <x:v>ABERTO</x:v>
      </x:c>
    </x:row>
    <x:row r="44">
      <x:c r="A44" s="33" t="str">
        <x:v>2028/29</x:v>
      </x:c>
      <x:c r="B44" s="33" t="str">
        <x:v>loan-pen</x:v>
      </x:c>
      <x:c r="C44" s="33" t="str">
        <x:v>Capital de giro, PEN</x:v>
      </x:c>
      <x:c r="D44" s="33" t="str">
        <x:v>Prefixado</x:v>
      </x:c>
      <x:c r="E44" s="34" t="n">
        <x:f>L43</x:f>
        <x:v>30184</x:v>
      </x:c>
      <x:c r="F44" s="37" t="n">
        <x:f>0</x:f>
        <x:v>0</x:v>
      </x:c>
      <x:c r="G44" s="37" t="n">
        <x:f>E44*F44</x:f>
        <x:v>0</x:v>
      </x:c>
      <x:c r="H44" s="37" t="n">
        <x:f>0.075</x:f>
        <x:v>0.075</x:v>
      </x:c>
      <x:c r="I44" s="34" t="n">
        <x:f>(E44+G44)*H44</x:f>
        <x:v>2263.7999999999997</x:v>
      </x:c>
      <x:c r="J44" s="36" t="n">
        <x:v>19911</x:v>
      </x:c>
      <x:c r="K44" s="34" t="n">
        <x:f>J44</x:f>
        <x:v>19911</x:v>
      </x:c>
      <x:c r="L44" s="34" t="n">
        <x:f>E44+G44-K44</x:f>
        <x:v>10273</x:v>
      </x:c>
      <x:c r="M44" s="33" t="str">
        <x:v>SRC-04/SRC-07</x:v>
      </x:c>
      <x:c r="N44" s="33" t="str">
        <x:v>Juros pagos; principal conforme cronograma</x:v>
      </x:c>
      <x:c r="O44" s="33" t="str">
        <x:f>IF(ABS(L44)&lt;1,"OK",IF(L44&lt;0,"ERRO","ABERTO"))</x:f>
        <x:v>ABERTO</x:v>
      </x:c>
    </x:row>
    <x:row r="45">
      <x:c r="A45" s="33" t="str">
        <x:v>2029/30</x:v>
      </x:c>
      <x:c r="B45" s="33" t="str">
        <x:v>loan-pen</x:v>
      </x:c>
      <x:c r="C45" s="33" t="str">
        <x:v>Capital de giro, PEN</x:v>
      </x:c>
      <x:c r="D45" s="33" t="str">
        <x:v>Prefixado</x:v>
      </x:c>
      <x:c r="E45" s="34" t="n">
        <x:f>L44</x:f>
        <x:v>10273</x:v>
      </x:c>
      <x:c r="F45" s="37" t="n">
        <x:f>0</x:f>
        <x:v>0</x:v>
      </x:c>
      <x:c r="G45" s="37" t="n">
        <x:f>E45*F45</x:f>
        <x:v>0</x:v>
      </x:c>
      <x:c r="H45" s="37" t="n">
        <x:f>0.075</x:f>
        <x:v>0.075</x:v>
      </x:c>
      <x:c r="I45" s="34" t="n">
        <x:f>(E45+G45)*H45</x:f>
        <x:v>770.475</x:v>
      </x:c>
      <x:c r="J45" s="36" t="n">
        <x:v>10273</x:v>
      </x:c>
      <x:c r="K45" s="34" t="n">
        <x:f>J45</x:f>
        <x:v>10273</x:v>
      </x:c>
      <x:c r="L45" s="34" t="n">
        <x:f>E45+G45-K45</x:f>
        <x:v>0</x:v>
      </x:c>
      <x:c r="M45" s="33" t="str">
        <x:v>SRC-04/SRC-07</x:v>
      </x:c>
      <x:c r="N45" s="33" t="str">
        <x:v>Juros pagos; principal conforme cronograma</x:v>
      </x:c>
      <x:c r="O45" s="33" t="str">
        <x:f>IF(ABS(L45)&lt;1,"OK",IF(L45&lt;0,"ERRO","ABERTO"))</x:f>
        <x:v>OK</x:v>
      </x:c>
    </x:row>
    <x:row r="46">
      <x:c r="A46" s="33" t="str">
        <x:v>2030/31</x:v>
      </x:c>
      <x:c r="B46" s="33" t="str">
        <x:v>loan-pen</x:v>
      </x:c>
      <x:c r="C46" s="33" t="str">
        <x:v>Capital de giro, PEN</x:v>
      </x:c>
      <x:c r="D46" s="33" t="str">
        <x:v>Prefixado</x:v>
      </x:c>
      <x:c r="E46" s="34" t="n">
        <x:f>L45</x:f>
        <x:v>0</x:v>
      </x:c>
      <x:c r="F46" s="37" t="n">
        <x:f>0</x:f>
        <x:v>0</x:v>
      </x:c>
      <x:c r="G46" s="37" t="n">
        <x:f>E46*F46</x:f>
        <x:v>0</x:v>
      </x:c>
      <x:c r="H46" s="37" t="n">
        <x:f>0.075</x:f>
        <x:v>0.075</x:v>
      </x:c>
      <x:c r="I46" s="34" t="n">
        <x:f>(E46+G46)*H46</x:f>
        <x:v>0</x:v>
      </x:c>
      <x:c r="J46" s="36" t="n">
        <x:v>0</x:v>
      </x:c>
      <x:c r="K46" s="34" t="n">
        <x:f>J46</x:f>
        <x:v>0</x:v>
      </x:c>
      <x:c r="L46" s="34" t="n">
        <x:f>E46+G46-K46</x:f>
        <x:v>0</x:v>
      </x:c>
      <x:c r="M46" s="33" t="str">
        <x:v>SRC-04/SRC-07</x:v>
      </x:c>
      <x:c r="N46" s="33" t="str">
        <x:v>Juros pagos; principal conforme cronograma</x:v>
      </x:c>
      <x:c r="O46" s="33" t="str">
        <x:f>IF(ABS(L46)&lt;1,"OK",IF(L46&lt;0,"ERRO","ABERTO"))</x:f>
        <x:v>OK</x:v>
      </x:c>
    </x:row>
    <x:row r="47">
      <x:c r="A47" s="33" t="str">
        <x:v>Após 2031</x:v>
      </x:c>
      <x:c r="B47" s="33" t="str">
        <x:v>loan-pen</x:v>
      </x:c>
      <x:c r="C47" s="33" t="str">
        <x:v>Capital de giro, PEN</x:v>
      </x:c>
      <x:c r="D47" s="33" t="str">
        <x:v>Prefixado</x:v>
      </x:c>
      <x:c r="E47" s="34" t="n">
        <x:f>L46</x:f>
        <x:v>0</x:v>
      </x:c>
      <x:c r="F47" s="37" t="n">
        <x:f>0</x:f>
        <x:v>0</x:v>
      </x:c>
      <x:c r="G47" s="37" t="n">
        <x:f>E47*F47</x:f>
        <x:v>0</x:v>
      </x:c>
      <x:c r="H47" s="37" t="n">
        <x:f>0.075</x:f>
        <x:v>0.075</x:v>
      </x:c>
      <x:c r="I47" s="34" t="n">
        <x:f>(E47+G47)*H47</x:f>
        <x:v>0</x:v>
      </x:c>
      <x:c r="J47" s="36" t="n">
        <x:v>0</x:v>
      </x:c>
      <x:c r="K47" s="34" t="n">
        <x:f>J47</x:f>
        <x:v>0</x:v>
      </x:c>
      <x:c r="L47" s="34" t="n">
        <x:f>E47+G47-K47</x:f>
        <x:v>0</x:v>
      </x:c>
      <x:c r="M47" s="33" t="str">
        <x:v>SRC-04/SRC-07</x:v>
      </x:c>
      <x:c r="N47" s="33" t="str">
        <x:v>Juros pagos; principal conforme cronograma</x:v>
      </x:c>
      <x:c r="O47" s="33" t="str">
        <x:f>IF(ABS(L47)&lt;1,"OK",IF(L47&lt;0,"ERRO","ABERTO"))</x:f>
        <x:v>OK</x:v>
      </x:c>
    </x:row>
    <x:row r="48">
      <x:c r="A48" s="33" t="str">
        <x:v>2026/27</x:v>
      </x:c>
      <x:c r="B48" s="33" t="str">
        <x:v>deb-11-1</x:v>
      </x:c>
      <x:c r="C48" s="33" t="str">
        <x:v>Debêntures 11ª emissão, 1ª série</x:v>
      </x:c>
      <x:c r="D48" s="33" t="str">
        <x:v>CDI</x:v>
      </x:c>
      <x:c r="E48" s="34" t="n">
        <x:f>C9</x:f>
        <x:v>151795</x:v>
      </x:c>
      <x:c r="F48" s="37" t="n">
        <x:f>0</x:f>
        <x:v>0</x:v>
      </x:c>
      <x:c r="G48" s="37" t="n">
        <x:f>E48*F48</x:f>
        <x:v>0</x:v>
      </x:c>
      <x:c r="H48" s="37" t="n">
        <x:f>'Premissas'!C39+0.0155</x:f>
        <x:v>0.15460000000000002</x:v>
      </x:c>
      <x:c r="I48" s="34" t="n">
        <x:f>(E48+G48)*H48</x:f>
        <x:v>23467.507</x:v>
      </x:c>
      <x:c r="J48" s="36" t="n">
        <x:v>0</x:v>
      </x:c>
      <x:c r="K48" s="34" t="n">
        <x:f>J48</x:f>
        <x:v>0</x:v>
      </x:c>
      <x:c r="L48" s="34" t="n">
        <x:f>E48+G48-K48</x:f>
        <x:v>151795</x:v>
      </x:c>
      <x:c r="M48" s="33" t="str">
        <x:v>SRC-03/SRC-07</x:v>
      </x:c>
      <x:c r="N48" s="33" t="str">
        <x:v>Juros pagos; principal conforme cronograma</x:v>
      </x:c>
      <x:c r="O48" s="33" t="str">
        <x:f>IF(ABS(L48)&lt;1,"OK",IF(L48&lt;0,"ERRO","ABERTO"))</x:f>
        <x:v>ABERTO</x:v>
      </x:c>
    </x:row>
    <x:row r="49">
      <x:c r="A49" s="33" t="str">
        <x:v>2027/28</x:v>
      </x:c>
      <x:c r="B49" s="33" t="str">
        <x:v>deb-11-1</x:v>
      </x:c>
      <x:c r="C49" s="33" t="str">
        <x:v>Debêntures 11ª emissão, 1ª série</x:v>
      </x:c>
      <x:c r="D49" s="33" t="str">
        <x:v>CDI</x:v>
      </x:c>
      <x:c r="E49" s="34" t="n">
        <x:f>L48</x:f>
        <x:v>151795</x:v>
      </x:c>
      <x:c r="F49" s="37" t="n">
        <x:f>0</x:f>
        <x:v>0</x:v>
      </x:c>
      <x:c r="G49" s="37" t="n">
        <x:f>E49*F49</x:f>
        <x:v>0</x:v>
      </x:c>
      <x:c r="H49" s="37" t="n">
        <x:f>'Premissas'!D39+0.0155</x:f>
        <x:v>0.15460000000000002</x:v>
      </x:c>
      <x:c r="I49" s="34" t="n">
        <x:f>(E49+G49)*H49</x:f>
        <x:v>23467.507</x:v>
      </x:c>
      <x:c r="J49" s="36" t="n">
        <x:v>0</x:v>
      </x:c>
      <x:c r="K49" s="34" t="n">
        <x:f>J49</x:f>
        <x:v>0</x:v>
      </x:c>
      <x:c r="L49" s="34" t="n">
        <x:f>E49+G49-K49</x:f>
        <x:v>151795</x:v>
      </x:c>
      <x:c r="M49" s="33" t="str">
        <x:v>SRC-03/SRC-07</x:v>
      </x:c>
      <x:c r="N49" s="33" t="str">
        <x:v>Juros pagos; principal conforme cronograma</x:v>
      </x:c>
      <x:c r="O49" s="33" t="str">
        <x:f>IF(ABS(L49)&lt;1,"OK",IF(L49&lt;0,"ERRO","ABERTO"))</x:f>
        <x:v>ABERTO</x:v>
      </x:c>
    </x:row>
    <x:row r="50">
      <x:c r="A50" s="33" t="str">
        <x:v>2028/29</x:v>
      </x:c>
      <x:c r="B50" s="33" t="str">
        <x:v>deb-11-1</x:v>
      </x:c>
      <x:c r="C50" s="33" t="str">
        <x:v>Debêntures 11ª emissão, 1ª série</x:v>
      </x:c>
      <x:c r="D50" s="33" t="str">
        <x:v>CDI</x:v>
      </x:c>
      <x:c r="E50" s="34" t="n">
        <x:f>L49</x:f>
        <x:v>151795</x:v>
      </x:c>
      <x:c r="F50" s="37" t="n">
        <x:f>0</x:f>
        <x:v>0</x:v>
      </x:c>
      <x:c r="G50" s="37" t="n">
        <x:f>E50*F50</x:f>
        <x:v>0</x:v>
      </x:c>
      <x:c r="H50" s="37" t="n">
        <x:f>'Premissas'!E39+0.0155</x:f>
        <x:v>0.15460000000000002</x:v>
      </x:c>
      <x:c r="I50" s="34" t="n">
        <x:f>(E50+G50)*H50</x:f>
        <x:v>23467.507</x:v>
      </x:c>
      <x:c r="J50" s="36" t="n">
        <x:v>151795</x:v>
      </x:c>
      <x:c r="K50" s="34" t="n">
        <x:f>J50</x:f>
        <x:v>151795</x:v>
      </x:c>
      <x:c r="L50" s="34" t="n">
        <x:f>E50+G50-K50</x:f>
        <x:v>0</x:v>
      </x:c>
      <x:c r="M50" s="33" t="str">
        <x:v>SRC-03/SRC-07</x:v>
      </x:c>
      <x:c r="N50" s="33" t="str">
        <x:v>Juros pagos; principal conforme cronograma</x:v>
      </x:c>
      <x:c r="O50" s="33" t="str">
        <x:f>IF(ABS(L50)&lt;1,"OK",IF(L50&lt;0,"ERRO","ABERTO"))</x:f>
        <x:v>OK</x:v>
      </x:c>
    </x:row>
    <x:row r="51">
      <x:c r="A51" s="33" t="str">
        <x:v>2029/30</x:v>
      </x:c>
      <x:c r="B51" s="33" t="str">
        <x:v>deb-11-1</x:v>
      </x:c>
      <x:c r="C51" s="33" t="str">
        <x:v>Debêntures 11ª emissão, 1ª série</x:v>
      </x:c>
      <x:c r="D51" s="33" t="str">
        <x:v>CDI</x:v>
      </x:c>
      <x:c r="E51" s="34" t="n">
        <x:f>L50</x:f>
        <x:v>0</x:v>
      </x:c>
      <x:c r="F51" s="37" t="n">
        <x:f>0</x:f>
        <x:v>0</x:v>
      </x:c>
      <x:c r="G51" s="37" t="n">
        <x:f>E51*F51</x:f>
        <x:v>0</x:v>
      </x:c>
      <x:c r="H51" s="37" t="n">
        <x:f>'Premissas'!F39+0.0155</x:f>
        <x:v>0.15460000000000002</x:v>
      </x:c>
      <x:c r="I51" s="34" t="n">
        <x:f>(E51+G51)*H51</x:f>
        <x:v>0</x:v>
      </x:c>
      <x:c r="J51" s="36" t="n">
        <x:v>0</x:v>
      </x:c>
      <x:c r="K51" s="34" t="n">
        <x:f>J51</x:f>
        <x:v>0</x:v>
      </x:c>
      <x:c r="L51" s="34" t="n">
        <x:f>E51+G51-K51</x:f>
        <x:v>0</x:v>
      </x:c>
      <x:c r="M51" s="33" t="str">
        <x:v>SRC-03/SRC-07</x:v>
      </x:c>
      <x:c r="N51" s="33" t="str">
        <x:v>Juros pagos; principal conforme cronograma</x:v>
      </x:c>
      <x:c r="O51" s="33" t="str">
        <x:f>IF(ABS(L51)&lt;1,"OK",IF(L51&lt;0,"ERRO","ABERTO"))</x:f>
        <x:v>OK</x:v>
      </x:c>
    </x:row>
    <x:row r="52">
      <x:c r="A52" s="33" t="str">
        <x:v>2030/31</x:v>
      </x:c>
      <x:c r="B52" s="33" t="str">
        <x:v>deb-11-1</x:v>
      </x:c>
      <x:c r="C52" s="33" t="str">
        <x:v>Debêntures 11ª emissão, 1ª série</x:v>
      </x:c>
      <x:c r="D52" s="33" t="str">
        <x:v>CDI</x:v>
      </x:c>
      <x:c r="E52" s="34" t="n">
        <x:f>L51</x:f>
        <x:v>0</x:v>
      </x:c>
      <x:c r="F52" s="37" t="n">
        <x:f>0</x:f>
        <x:v>0</x:v>
      </x:c>
      <x:c r="G52" s="37" t="n">
        <x:f>E52*F52</x:f>
        <x:v>0</x:v>
      </x:c>
      <x:c r="H52" s="37" t="n">
        <x:f>'Premissas'!G39+0.0155</x:f>
        <x:v>0.15460000000000002</x:v>
      </x:c>
      <x:c r="I52" s="34" t="n">
        <x:f>(E52+G52)*H52</x:f>
        <x:v>0</x:v>
      </x:c>
      <x:c r="J52" s="36" t="n">
        <x:v>0</x:v>
      </x:c>
      <x:c r="K52" s="34" t="n">
        <x:f>J52</x:f>
        <x:v>0</x:v>
      </x:c>
      <x:c r="L52" s="34" t="n">
        <x:f>E52+G52-K52</x:f>
        <x:v>0</x:v>
      </x:c>
      <x:c r="M52" s="33" t="str">
        <x:v>SRC-03/SRC-07</x:v>
      </x:c>
      <x:c r="N52" s="33" t="str">
        <x:v>Juros pagos; principal conforme cronograma</x:v>
      </x:c>
      <x:c r="O52" s="33" t="str">
        <x:f>IF(ABS(L52)&lt;1,"OK",IF(L52&lt;0,"ERRO","ABERTO"))</x:f>
        <x:v>OK</x:v>
      </x:c>
    </x:row>
    <x:row r="53">
      <x:c r="A53" s="33" t="str">
        <x:v>Após 2031</x:v>
      </x:c>
      <x:c r="B53" s="33" t="str">
        <x:v>deb-11-1</x:v>
      </x:c>
      <x:c r="C53" s="33" t="str">
        <x:v>Debêntures 11ª emissão, 1ª série</x:v>
      </x:c>
      <x:c r="D53" s="33" t="str">
        <x:v>CDI</x:v>
      </x:c>
      <x:c r="E53" s="34" t="n">
        <x:f>L52</x:f>
        <x:v>0</x:v>
      </x:c>
      <x:c r="F53" s="37" t="n">
        <x:f>0</x:f>
        <x:v>0</x:v>
      </x:c>
      <x:c r="G53" s="37" t="n">
        <x:f>E53*F53</x:f>
        <x:v>0</x:v>
      </x:c>
      <x:c r="H53" s="37" t="n">
        <x:f>'Premissas'!H39+0.0155</x:f>
        <x:v>0.15460000000000002</x:v>
      </x:c>
      <x:c r="I53" s="34" t="n">
        <x:f>(E53+G53)*H53</x:f>
        <x:v>0</x:v>
      </x:c>
      <x:c r="J53" s="36" t="n">
        <x:v>0</x:v>
      </x:c>
      <x:c r="K53" s="34" t="n">
        <x:f>J53</x:f>
        <x:v>0</x:v>
      </x:c>
      <x:c r="L53" s="34" t="n">
        <x:f>E53+G53-K53</x:f>
        <x:v>0</x:v>
      </x:c>
      <x:c r="M53" s="33" t="str">
        <x:v>SRC-03/SRC-07</x:v>
      </x:c>
      <x:c r="N53" s="33" t="str">
        <x:v>Juros pagos; principal conforme cronograma</x:v>
      </x:c>
      <x:c r="O53" s="33" t="str">
        <x:f>IF(ABS(L53)&lt;1,"OK",IF(L53&lt;0,"ERRO","ABERTO"))</x:f>
        <x:v>OK</x:v>
      </x:c>
    </x:row>
    <x:row r="54">
      <x:c r="A54" s="33" t="str">
        <x:v>2026/27</x:v>
      </x:c>
      <x:c r="B54" s="33" t="str">
        <x:v>deb-11-2</x:v>
      </x:c>
      <x:c r="C54" s="33" t="str">
        <x:v>Debêntures 11ª emissão, 2ª série</x:v>
      </x:c>
      <x:c r="D54" s="33" t="str">
        <x:v>CDI</x:v>
      </x:c>
      <x:c r="E54" s="34" t="n">
        <x:f>C10</x:f>
        <x:v>505984</x:v>
      </x:c>
      <x:c r="F54" s="37" t="n">
        <x:f>0</x:f>
        <x:v>0</x:v>
      </x:c>
      <x:c r="G54" s="37" t="n">
        <x:f>E54*F54</x:f>
        <x:v>0</x:v>
      </x:c>
      <x:c r="H54" s="37" t="n">
        <x:f>'Premissas'!C39+0.0155</x:f>
        <x:v>0.15460000000000002</x:v>
      </x:c>
      <x:c r="I54" s="34" t="n">
        <x:f>(E54+G54)*H54</x:f>
        <x:v>78225.12640000001</x:v>
      </x:c>
      <x:c r="J54" s="36" t="n">
        <x:v>0</x:v>
      </x:c>
      <x:c r="K54" s="34" t="n">
        <x:f>J54</x:f>
        <x:v>0</x:v>
      </x:c>
      <x:c r="L54" s="34" t="n">
        <x:f>E54+G54-K54</x:f>
        <x:v>505984</x:v>
      </x:c>
      <x:c r="M54" s="33" t="str">
        <x:v>SRC-03/SRC-07</x:v>
      </x:c>
      <x:c r="N54" s="33" t="str">
        <x:v>Juros pagos; principal conforme cronograma</x:v>
      </x:c>
      <x:c r="O54" s="33" t="str">
        <x:f>IF(ABS(L54)&lt;1,"OK",IF(L54&lt;0,"ERRO","ABERTO"))</x:f>
        <x:v>ABERTO</x:v>
      </x:c>
    </x:row>
    <x:row r="55">
      <x:c r="A55" s="33" t="str">
        <x:v>2027/28</x:v>
      </x:c>
      <x:c r="B55" s="33" t="str">
        <x:v>deb-11-2</x:v>
      </x:c>
      <x:c r="C55" s="33" t="str">
        <x:v>Debêntures 11ª emissão, 2ª série</x:v>
      </x:c>
      <x:c r="D55" s="33" t="str">
        <x:v>CDI</x:v>
      </x:c>
      <x:c r="E55" s="34" t="n">
        <x:f>L54</x:f>
        <x:v>505984</x:v>
      </x:c>
      <x:c r="F55" s="37" t="n">
        <x:f>0</x:f>
        <x:v>0</x:v>
      </x:c>
      <x:c r="G55" s="37" t="n">
        <x:f>E55*F55</x:f>
        <x:v>0</x:v>
      </x:c>
      <x:c r="H55" s="37" t="n">
        <x:f>'Premissas'!D39+0.0155</x:f>
        <x:v>0.15460000000000002</x:v>
      </x:c>
      <x:c r="I55" s="34" t="n">
        <x:f>(E55+G55)*H55</x:f>
        <x:v>78225.12640000001</x:v>
      </x:c>
      <x:c r="J55" s="36" t="n">
        <x:v>0</x:v>
      </x:c>
      <x:c r="K55" s="34" t="n">
        <x:f>J55</x:f>
        <x:v>0</x:v>
      </x:c>
      <x:c r="L55" s="34" t="n">
        <x:f>E55+G55-K55</x:f>
        <x:v>505984</x:v>
      </x:c>
      <x:c r="M55" s="33" t="str">
        <x:v>SRC-03/SRC-07</x:v>
      </x:c>
      <x:c r="N55" s="33" t="str">
        <x:v>Juros pagos; principal conforme cronograma</x:v>
      </x:c>
      <x:c r="O55" s="33" t="str">
        <x:f>IF(ABS(L55)&lt;1,"OK",IF(L55&lt;0,"ERRO","ABERTO"))</x:f>
        <x:v>ABERTO</x:v>
      </x:c>
    </x:row>
    <x:row r="56">
      <x:c r="A56" s="33" t="str">
        <x:v>2028/29</x:v>
      </x:c>
      <x:c r="B56" s="33" t="str">
        <x:v>deb-11-2</x:v>
      </x:c>
      <x:c r="C56" s="33" t="str">
        <x:v>Debêntures 11ª emissão, 2ª série</x:v>
      </x:c>
      <x:c r="D56" s="33" t="str">
        <x:v>CDI</x:v>
      </x:c>
      <x:c r="E56" s="34" t="n">
        <x:f>L55</x:f>
        <x:v>505984</x:v>
      </x:c>
      <x:c r="F56" s="37" t="n">
        <x:f>0</x:f>
        <x:v>0</x:v>
      </x:c>
      <x:c r="G56" s="37" t="n">
        <x:f>E56*F56</x:f>
        <x:v>0</x:v>
      </x:c>
      <x:c r="H56" s="37" t="n">
        <x:f>'Premissas'!E39+0.0155</x:f>
        <x:v>0.15460000000000002</x:v>
      </x:c>
      <x:c r="I56" s="34" t="n">
        <x:f>(E56+G56)*H56</x:f>
        <x:v>78225.12640000001</x:v>
      </x:c>
      <x:c r="J56" s="36" t="n">
        <x:v>505984</x:v>
      </x:c>
      <x:c r="K56" s="34" t="n">
        <x:f>J56</x:f>
        <x:v>505984</x:v>
      </x:c>
      <x:c r="L56" s="34" t="n">
        <x:f>E56+G56-K56</x:f>
        <x:v>0</x:v>
      </x:c>
      <x:c r="M56" s="33" t="str">
        <x:v>SRC-03/SRC-07</x:v>
      </x:c>
      <x:c r="N56" s="33" t="str">
        <x:v>Juros pagos; principal conforme cronograma</x:v>
      </x:c>
      <x:c r="O56" s="33" t="str">
        <x:f>IF(ABS(L56)&lt;1,"OK",IF(L56&lt;0,"ERRO","ABERTO"))</x:f>
        <x:v>OK</x:v>
      </x:c>
    </x:row>
    <x:row r="57">
      <x:c r="A57" s="33" t="str">
        <x:v>2029/30</x:v>
      </x:c>
      <x:c r="B57" s="33" t="str">
        <x:v>deb-11-2</x:v>
      </x:c>
      <x:c r="C57" s="33" t="str">
        <x:v>Debêntures 11ª emissão, 2ª série</x:v>
      </x:c>
      <x:c r="D57" s="33" t="str">
        <x:v>CDI</x:v>
      </x:c>
      <x:c r="E57" s="34" t="n">
        <x:f>L56</x:f>
        <x:v>0</x:v>
      </x:c>
      <x:c r="F57" s="37" t="n">
        <x:f>0</x:f>
        <x:v>0</x:v>
      </x:c>
      <x:c r="G57" s="37" t="n">
        <x:f>E57*F57</x:f>
        <x:v>0</x:v>
      </x:c>
      <x:c r="H57" s="37" t="n">
        <x:f>'Premissas'!F39+0.0155</x:f>
        <x:v>0.15460000000000002</x:v>
      </x:c>
      <x:c r="I57" s="34" t="n">
        <x:f>(E57+G57)*H57</x:f>
        <x:v>0</x:v>
      </x:c>
      <x:c r="J57" s="36" t="n">
        <x:v>0</x:v>
      </x:c>
      <x:c r="K57" s="34" t="n">
        <x:f>J57</x:f>
        <x:v>0</x:v>
      </x:c>
      <x:c r="L57" s="34" t="n">
        <x:f>E57+G57-K57</x:f>
        <x:v>0</x:v>
      </x:c>
      <x:c r="M57" s="33" t="str">
        <x:v>SRC-03/SRC-07</x:v>
      </x:c>
      <x:c r="N57" s="33" t="str">
        <x:v>Juros pagos; principal conforme cronograma</x:v>
      </x:c>
      <x:c r="O57" s="33" t="str">
        <x:f>IF(ABS(L57)&lt;1,"OK",IF(L57&lt;0,"ERRO","ABERTO"))</x:f>
        <x:v>OK</x:v>
      </x:c>
    </x:row>
    <x:row r="58">
      <x:c r="A58" s="33" t="str">
        <x:v>2030/31</x:v>
      </x:c>
      <x:c r="B58" s="33" t="str">
        <x:v>deb-11-2</x:v>
      </x:c>
      <x:c r="C58" s="33" t="str">
        <x:v>Debêntures 11ª emissão, 2ª série</x:v>
      </x:c>
      <x:c r="D58" s="33" t="str">
        <x:v>CDI</x:v>
      </x:c>
      <x:c r="E58" s="34" t="n">
        <x:f>L57</x:f>
        <x:v>0</x:v>
      </x:c>
      <x:c r="F58" s="37" t="n">
        <x:f>0</x:f>
        <x:v>0</x:v>
      </x:c>
      <x:c r="G58" s="37" t="n">
        <x:f>E58*F58</x:f>
        <x:v>0</x:v>
      </x:c>
      <x:c r="H58" s="37" t="n">
        <x:f>'Premissas'!G39+0.0155</x:f>
        <x:v>0.15460000000000002</x:v>
      </x:c>
      <x:c r="I58" s="34" t="n">
        <x:f>(E58+G58)*H58</x:f>
        <x:v>0</x:v>
      </x:c>
      <x:c r="J58" s="36" t="n">
        <x:v>0</x:v>
      </x:c>
      <x:c r="K58" s="34" t="n">
        <x:f>J58</x:f>
        <x:v>0</x:v>
      </x:c>
      <x:c r="L58" s="34" t="n">
        <x:f>E58+G58-K58</x:f>
        <x:v>0</x:v>
      </x:c>
      <x:c r="M58" s="33" t="str">
        <x:v>SRC-03/SRC-07</x:v>
      </x:c>
      <x:c r="N58" s="33" t="str">
        <x:v>Juros pagos; principal conforme cronograma</x:v>
      </x:c>
      <x:c r="O58" s="33" t="str">
        <x:f>IF(ABS(L58)&lt;1,"OK",IF(L58&lt;0,"ERRO","ABERTO"))</x:f>
        <x:v>OK</x:v>
      </x:c>
    </x:row>
    <x:row r="59">
      <x:c r="A59" s="33" t="str">
        <x:v>Após 2031</x:v>
      </x:c>
      <x:c r="B59" s="33" t="str">
        <x:v>deb-11-2</x:v>
      </x:c>
      <x:c r="C59" s="33" t="str">
        <x:v>Debêntures 11ª emissão, 2ª série</x:v>
      </x:c>
      <x:c r="D59" s="33" t="str">
        <x:v>CDI</x:v>
      </x:c>
      <x:c r="E59" s="34" t="n">
        <x:f>L58</x:f>
        <x:v>0</x:v>
      </x:c>
      <x:c r="F59" s="37" t="n">
        <x:f>0</x:f>
        <x:v>0</x:v>
      </x:c>
      <x:c r="G59" s="37" t="n">
        <x:f>E59*F59</x:f>
        <x:v>0</x:v>
      </x:c>
      <x:c r="H59" s="37" t="n">
        <x:f>'Premissas'!H39+0.0155</x:f>
        <x:v>0.15460000000000002</x:v>
      </x:c>
      <x:c r="I59" s="34" t="n">
        <x:f>(E59+G59)*H59</x:f>
        <x:v>0</x:v>
      </x:c>
      <x:c r="J59" s="36" t="n">
        <x:v>0</x:v>
      </x:c>
      <x:c r="K59" s="34" t="n">
        <x:f>J59</x:f>
        <x:v>0</x:v>
      </x:c>
      <x:c r="L59" s="34" t="n">
        <x:f>E59+G59-K59</x:f>
        <x:v>0</x:v>
      </x:c>
      <x:c r="M59" s="33" t="str">
        <x:v>SRC-03/SRC-07</x:v>
      </x:c>
      <x:c r="N59" s="33" t="str">
        <x:v>Juros pagos; principal conforme cronograma</x:v>
      </x:c>
      <x:c r="O59" s="33" t="str">
        <x:f>IF(ABS(L59)&lt;1,"OK",IF(L59&lt;0,"ERRO","ABERTO"))</x:f>
        <x:v>OK</x:v>
      </x:c>
    </x:row>
    <x:row r="60">
      <x:c r="A60" s="33" t="str">
        <x:v>2026/27</x:v>
      </x:c>
      <x:c r="B60" s="33" t="str">
        <x:v>deb-13-1</x:v>
      </x:c>
      <x:c r="C60" s="33" t="str">
        <x:v>Debêntures 13ª emissão, 1ª série</x:v>
      </x:c>
      <x:c r="D60" s="33" t="str">
        <x:v>CDI</x:v>
      </x:c>
      <x:c r="E60" s="34" t="n">
        <x:f>C11</x:f>
        <x:v>306038</x:v>
      </x:c>
      <x:c r="F60" s="37" t="n">
        <x:f>0</x:f>
        <x:v>0</x:v>
      </x:c>
      <x:c r="G60" s="37" t="n">
        <x:f>E60*F60</x:f>
        <x:v>0</x:v>
      </x:c>
      <x:c r="H60" s="37" t="n">
        <x:f>'Premissas'!C39+0.006500000000000001</x:f>
        <x:v>0.1456</x:v>
      </x:c>
      <x:c r="I60" s="34" t="n">
        <x:f>(E60+G60)*H60</x:f>
        <x:v>44559.1328</x:v>
      </x:c>
      <x:c r="J60" s="36" t="n">
        <x:v>0</x:v>
      </x:c>
      <x:c r="K60" s="34" t="n">
        <x:f>J60</x:f>
        <x:v>0</x:v>
      </x:c>
      <x:c r="L60" s="34" t="n">
        <x:f>E60+G60-K60</x:f>
        <x:v>306038</x:v>
      </x:c>
      <x:c r="M60" s="33" t="str">
        <x:v>SRC-03/SRC-07</x:v>
      </x:c>
      <x:c r="N60" s="33" t="str">
        <x:v>Juros pagos; principal conforme cronograma</x:v>
      </x:c>
      <x:c r="O60" s="33" t="str">
        <x:f>IF(ABS(L60)&lt;1,"OK",IF(L60&lt;0,"ERRO","ABERTO"))</x:f>
        <x:v>ABERTO</x:v>
      </x:c>
    </x:row>
    <x:row r="61">
      <x:c r="A61" s="33" t="str">
        <x:v>2027/28</x:v>
      </x:c>
      <x:c r="B61" s="33" t="str">
        <x:v>deb-13-1</x:v>
      </x:c>
      <x:c r="C61" s="33" t="str">
        <x:v>Debêntures 13ª emissão, 1ª série</x:v>
      </x:c>
      <x:c r="D61" s="33" t="str">
        <x:v>CDI</x:v>
      </x:c>
      <x:c r="E61" s="34" t="n">
        <x:f>L60</x:f>
        <x:v>306038</x:v>
      </x:c>
      <x:c r="F61" s="37" t="n">
        <x:f>0</x:f>
        <x:v>0</x:v>
      </x:c>
      <x:c r="G61" s="37" t="n">
        <x:f>E61*F61</x:f>
        <x:v>0</x:v>
      </x:c>
      <x:c r="H61" s="37" t="n">
        <x:f>'Premissas'!D39+0.006500000000000001</x:f>
        <x:v>0.1456</x:v>
      </x:c>
      <x:c r="I61" s="34" t="n">
        <x:f>(E61+G61)*H61</x:f>
        <x:v>44559.1328</x:v>
      </x:c>
      <x:c r="J61" s="36" t="n">
        <x:v>0</x:v>
      </x:c>
      <x:c r="K61" s="34" t="n">
        <x:f>J61</x:f>
        <x:v>0</x:v>
      </x:c>
      <x:c r="L61" s="34" t="n">
        <x:f>E61+G61-K61</x:f>
        <x:v>306038</x:v>
      </x:c>
      <x:c r="M61" s="33" t="str">
        <x:v>SRC-03/SRC-07</x:v>
      </x:c>
      <x:c r="N61" s="33" t="str">
        <x:v>Juros pagos; principal conforme cronograma</x:v>
      </x:c>
      <x:c r="O61" s="33" t="str">
        <x:f>IF(ABS(L61)&lt;1,"OK",IF(L61&lt;0,"ERRO","ABERTO"))</x:f>
        <x:v>ABERTO</x:v>
      </x:c>
    </x:row>
    <x:row r="62">
      <x:c r="A62" s="33" t="str">
        <x:v>2028/29</x:v>
      </x:c>
      <x:c r="B62" s="33" t="str">
        <x:v>deb-13-1</x:v>
      </x:c>
      <x:c r="C62" s="33" t="str">
        <x:v>Debêntures 13ª emissão, 1ª série</x:v>
      </x:c>
      <x:c r="D62" s="33" t="str">
        <x:v>CDI</x:v>
      </x:c>
      <x:c r="E62" s="34" t="n">
        <x:f>L61</x:f>
        <x:v>306038</x:v>
      </x:c>
      <x:c r="F62" s="37" t="n">
        <x:f>0</x:f>
        <x:v>0</x:v>
      </x:c>
      <x:c r="G62" s="37" t="n">
        <x:f>E62*F62</x:f>
        <x:v>0</x:v>
      </x:c>
      <x:c r="H62" s="37" t="n">
        <x:f>'Premissas'!E39+0.006500000000000001</x:f>
        <x:v>0.1456</x:v>
      </x:c>
      <x:c r="I62" s="34" t="n">
        <x:f>(E62+G62)*H62</x:f>
        <x:v>44559.1328</x:v>
      </x:c>
      <x:c r="J62" s="36" t="n">
        <x:v>306038</x:v>
      </x:c>
      <x:c r="K62" s="34" t="n">
        <x:f>J62</x:f>
        <x:v>306038</x:v>
      </x:c>
      <x:c r="L62" s="34" t="n">
        <x:f>E62+G62-K62</x:f>
        <x:v>0</x:v>
      </x:c>
      <x:c r="M62" s="33" t="str">
        <x:v>SRC-03/SRC-07</x:v>
      </x:c>
      <x:c r="N62" s="33" t="str">
        <x:v>Juros pagos; principal conforme cronograma</x:v>
      </x:c>
      <x:c r="O62" s="33" t="str">
        <x:f>IF(ABS(L62)&lt;1,"OK",IF(L62&lt;0,"ERRO","ABERTO"))</x:f>
        <x:v>OK</x:v>
      </x:c>
    </x:row>
    <x:row r="63">
      <x:c r="A63" s="33" t="str">
        <x:v>2029/30</x:v>
      </x:c>
      <x:c r="B63" s="33" t="str">
        <x:v>deb-13-1</x:v>
      </x:c>
      <x:c r="C63" s="33" t="str">
        <x:v>Debêntures 13ª emissão, 1ª série</x:v>
      </x:c>
      <x:c r="D63" s="33" t="str">
        <x:v>CDI</x:v>
      </x:c>
      <x:c r="E63" s="34" t="n">
        <x:f>L62</x:f>
        <x:v>0</x:v>
      </x:c>
      <x:c r="F63" s="37" t="n">
        <x:f>0</x:f>
        <x:v>0</x:v>
      </x:c>
      <x:c r="G63" s="37" t="n">
        <x:f>E63*F63</x:f>
        <x:v>0</x:v>
      </x:c>
      <x:c r="H63" s="37" t="n">
        <x:f>'Premissas'!F39+0.006500000000000001</x:f>
        <x:v>0.1456</x:v>
      </x:c>
      <x:c r="I63" s="34" t="n">
        <x:f>(E63+G63)*H63</x:f>
        <x:v>0</x:v>
      </x:c>
      <x:c r="J63" s="36" t="n">
        <x:v>0</x:v>
      </x:c>
      <x:c r="K63" s="34" t="n">
        <x:f>J63</x:f>
        <x:v>0</x:v>
      </x:c>
      <x:c r="L63" s="34" t="n">
        <x:f>E63+G63-K63</x:f>
        <x:v>0</x:v>
      </x:c>
      <x:c r="M63" s="33" t="str">
        <x:v>SRC-03/SRC-07</x:v>
      </x:c>
      <x:c r="N63" s="33" t="str">
        <x:v>Juros pagos; principal conforme cronograma</x:v>
      </x:c>
      <x:c r="O63" s="33" t="str">
        <x:f>IF(ABS(L63)&lt;1,"OK",IF(L63&lt;0,"ERRO","ABERTO"))</x:f>
        <x:v>OK</x:v>
      </x:c>
    </x:row>
    <x:row r="64">
      <x:c r="A64" s="33" t="str">
        <x:v>2030/31</x:v>
      </x:c>
      <x:c r="B64" s="33" t="str">
        <x:v>deb-13-1</x:v>
      </x:c>
      <x:c r="C64" s="33" t="str">
        <x:v>Debêntures 13ª emissão, 1ª série</x:v>
      </x:c>
      <x:c r="D64" s="33" t="str">
        <x:v>CDI</x:v>
      </x:c>
      <x:c r="E64" s="34" t="n">
        <x:f>L63</x:f>
        <x:v>0</x:v>
      </x:c>
      <x:c r="F64" s="37" t="n">
        <x:f>0</x:f>
        <x:v>0</x:v>
      </x:c>
      <x:c r="G64" s="37" t="n">
        <x:f>E64*F64</x:f>
        <x:v>0</x:v>
      </x:c>
      <x:c r="H64" s="37" t="n">
        <x:f>'Premissas'!G39+0.006500000000000001</x:f>
        <x:v>0.1456</x:v>
      </x:c>
      <x:c r="I64" s="34" t="n">
        <x:f>(E64+G64)*H64</x:f>
        <x:v>0</x:v>
      </x:c>
      <x:c r="J64" s="36" t="n">
        <x:v>0</x:v>
      </x:c>
      <x:c r="K64" s="34" t="n">
        <x:f>J64</x:f>
        <x:v>0</x:v>
      </x:c>
      <x:c r="L64" s="34" t="n">
        <x:f>E64+G64-K64</x:f>
        <x:v>0</x:v>
      </x:c>
      <x:c r="M64" s="33" t="str">
        <x:v>SRC-03/SRC-07</x:v>
      </x:c>
      <x:c r="N64" s="33" t="str">
        <x:v>Juros pagos; principal conforme cronograma</x:v>
      </x:c>
      <x:c r="O64" s="33" t="str">
        <x:f>IF(ABS(L64)&lt;1,"OK",IF(L64&lt;0,"ERRO","ABERTO"))</x:f>
        <x:v>OK</x:v>
      </x:c>
    </x:row>
    <x:row r="65">
      <x:c r="A65" s="33" t="str">
        <x:v>Após 2031</x:v>
      </x:c>
      <x:c r="B65" s="33" t="str">
        <x:v>deb-13-1</x:v>
      </x:c>
      <x:c r="C65" s="33" t="str">
        <x:v>Debêntures 13ª emissão, 1ª série</x:v>
      </x:c>
      <x:c r="D65" s="33" t="str">
        <x:v>CDI</x:v>
      </x:c>
      <x:c r="E65" s="34" t="n">
        <x:f>L64</x:f>
        <x:v>0</x:v>
      </x:c>
      <x:c r="F65" s="37" t="n">
        <x:f>0</x:f>
        <x:v>0</x:v>
      </x:c>
      <x:c r="G65" s="37" t="n">
        <x:f>E65*F65</x:f>
        <x:v>0</x:v>
      </x:c>
      <x:c r="H65" s="37" t="n">
        <x:f>'Premissas'!H39+0.006500000000000001</x:f>
        <x:v>0.1456</x:v>
      </x:c>
      <x:c r="I65" s="34" t="n">
        <x:f>(E65+G65)*H65</x:f>
        <x:v>0</x:v>
      </x:c>
      <x:c r="J65" s="36" t="n">
        <x:v>0</x:v>
      </x:c>
      <x:c r="K65" s="34" t="n">
        <x:f>J65</x:f>
        <x:v>0</x:v>
      </x:c>
      <x:c r="L65" s="34" t="n">
        <x:f>E65+G65-K65</x:f>
        <x:v>0</x:v>
      </x:c>
      <x:c r="M65" s="33" t="str">
        <x:v>SRC-03/SRC-07</x:v>
      </x:c>
      <x:c r="N65" s="33" t="str">
        <x:v>Juros pagos; principal conforme cronograma</x:v>
      </x:c>
      <x:c r="O65" s="33" t="str">
        <x:f>IF(ABS(L65)&lt;1,"OK",IF(L65&lt;0,"ERRO","ABERTO"))</x:f>
        <x:v>OK</x:v>
      </x:c>
    </x:row>
    <x:row r="66">
      <x:c r="A66" s="33" t="str">
        <x:v>2026/27</x:v>
      </x:c>
      <x:c r="B66" s="33" t="str">
        <x:v>deb-13-2</x:v>
      </x:c>
      <x:c r="C66" s="33" t="str">
        <x:v>Debêntures 13ª emissão, 2ª série</x:v>
      </x:c>
      <x:c r="D66" s="33" t="str">
        <x:v>IPCA</x:v>
      </x:c>
      <x:c r="E66" s="34" t="n">
        <x:f>C12</x:f>
        <x:v>282357</x:v>
      </x:c>
      <x:c r="F66" s="37" t="n">
        <x:f>'Premissas'!C43</x:f>
        <x:v>0.06052</x:v>
      </x:c>
      <x:c r="G66" s="37" t="n">
        <x:f>E66*F66</x:f>
        <x:v>17088.24564</x:v>
      </x:c>
      <x:c r="H66" s="37" t="n">
        <x:f>0.063416</x:f>
        <x:v>0.063416</x:v>
      </x:c>
      <x:c r="I66" s="34" t="n">
        <x:f>(E66+G66)*H66</x:f>
        <x:v>18989.619697506238</x:v>
      </x:c>
      <x:c r="J66" s="36" t="n">
        <x:v>0</x:v>
      </x:c>
      <x:c r="K66" s="34" t="n">
        <x:f>IF(J66&gt;0,E66+G66,0)</x:f>
        <x:v>0</x:v>
      </x:c>
      <x:c r="L66" s="34" t="n">
        <x:f>E66+G66-K66</x:f>
        <x:v>299445.24564</x:v>
      </x:c>
      <x:c r="M66" s="33" t="str">
        <x:v>SRC-03/SRC-07</x:v>
      </x:c>
      <x:c r="N66" s="33" t="str">
        <x:v>IPCA capitaliza; spread pago</x:v>
      </x:c>
      <x:c r="O66" s="33" t="str">
        <x:f>IF(ABS(L66)&lt;1,"OK",IF(L66&lt;0,"ERRO","ABERTO"))</x:f>
        <x:v>ABERTO</x:v>
      </x:c>
    </x:row>
    <x:row r="67">
      <x:c r="A67" s="33" t="str">
        <x:v>2027/28</x:v>
      </x:c>
      <x:c r="B67" s="33" t="str">
        <x:v>deb-13-2</x:v>
      </x:c>
      <x:c r="C67" s="33" t="str">
        <x:v>Debêntures 13ª emissão, 2ª série</x:v>
      </x:c>
      <x:c r="D67" s="33" t="str">
        <x:v>IPCA</x:v>
      </x:c>
      <x:c r="E67" s="34" t="n">
        <x:f>L66</x:f>
        <x:v>299445.24564</x:v>
      </x:c>
      <x:c r="F67" s="37" t="n">
        <x:f>'Premissas'!D43</x:f>
        <x:v>0.057576</x:v>
      </x:c>
      <x:c r="G67" s="37" t="n">
        <x:f>E67*F67</x:f>
        <x:v>17240.859462968638</x:v>
      </x:c>
      <x:c r="H67" s="37" t="n">
        <x:f>0.063416</x:f>
        <x:v>0.063416</x:v>
      </x:c>
      <x:c r="I67" s="34" t="n">
        <x:f>(E67+G67)*H67</x:f>
        <x:v>20082.96604120986</x:v>
      </x:c>
      <x:c r="J67" s="36" t="n">
        <x:v>0</x:v>
      </x:c>
      <x:c r="K67" s="34" t="n">
        <x:f>IF(J67&gt;0,E67+G67,0)</x:f>
        <x:v>0</x:v>
      </x:c>
      <x:c r="L67" s="34" t="n">
        <x:f>E67+G67-K67</x:f>
        <x:v>316686.10510296864</x:v>
      </x:c>
      <x:c r="M67" s="33" t="str">
        <x:v>SRC-03/SRC-07</x:v>
      </x:c>
      <x:c r="N67" s="33" t="str">
        <x:v>IPCA capitaliza; spread pago</x:v>
      </x:c>
      <x:c r="O67" s="33" t="str">
        <x:f>IF(ABS(L67)&lt;1,"OK",IF(L67&lt;0,"ERRO","ABERTO"))</x:f>
        <x:v>ABERTO</x:v>
      </x:c>
    </x:row>
    <x:row r="68">
      <x:c r="A68" s="33" t="str">
        <x:v>2028/29</x:v>
      </x:c>
      <x:c r="B68" s="33" t="str">
        <x:v>deb-13-2</x:v>
      </x:c>
      <x:c r="C68" s="33" t="str">
        <x:v>Debêntures 13ª emissão, 2ª série</x:v>
      </x:c>
      <x:c r="D68" s="33" t="str">
        <x:v>IPCA</x:v>
      </x:c>
      <x:c r="E68" s="34" t="n">
        <x:f>L67</x:f>
        <x:v>316686.10510296864</x:v>
      </x:c>
      <x:c r="F68" s="37" t="n">
        <x:f>'Premissas'!E43</x:f>
        <x:v>0.056539</x:v>
      </x:c>
      <x:c r="G68" s="37" t="n">
        <x:f>E68*F68</x:f>
        <x:v>17905.115696416742</x:v>
      </x:c>
      <x:c r="H68" s="37" t="n">
        <x:f>0.063416</x:f>
        <x:v>0.063416</x:v>
      </x:c>
      <x:c r="I68" s="34" t="n">
        <x:f>(E68+G68)*H68</x:f>
        <x:v>21218.436858213823</x:v>
      </x:c>
      <x:c r="J68" s="36" t="n">
        <x:v>0</x:v>
      </x:c>
      <x:c r="K68" s="34" t="n">
        <x:f>IF(J68&gt;0,E68+G68,0)</x:f>
        <x:v>0</x:v>
      </x:c>
      <x:c r="L68" s="34" t="n">
        <x:f>E68+G68-K68</x:f>
        <x:v>334591.2207993854</x:v>
      </x:c>
      <x:c r="M68" s="33" t="str">
        <x:v>SRC-03/SRC-07</x:v>
      </x:c>
      <x:c r="N68" s="33" t="str">
        <x:v>IPCA capitaliza; spread pago</x:v>
      </x:c>
      <x:c r="O68" s="33" t="str">
        <x:f>IF(ABS(L68)&lt;1,"OK",IF(L68&lt;0,"ERRO","ABERTO"))</x:f>
        <x:v>ABERTO</x:v>
      </x:c>
    </x:row>
    <x:row r="69">
      <x:c r="A69" s="33" t="str">
        <x:v>2029/30</x:v>
      </x:c>
      <x:c r="B69" s="33" t="str">
        <x:v>deb-13-2</x:v>
      </x:c>
      <x:c r="C69" s="33" t="str">
        <x:v>Debêntures 13ª emissão, 2ª série</x:v>
      </x:c>
      <x:c r="D69" s="33" t="str">
        <x:v>IPCA</x:v>
      </x:c>
      <x:c r="E69" s="34" t="n">
        <x:f>L68</x:f>
        <x:v>334591.2207993854</x:v>
      </x:c>
      <x:c r="F69" s="37" t="n">
        <x:f>'Premissas'!F43</x:f>
        <x:v>0.056419</x:v>
      </x:c>
      <x:c r="G69" s="37" t="n">
        <x:f>E69*F69</x:f>
        <x:v>18877.302086280524</x:v>
      </x:c>
      <x:c r="H69" s="37" t="n">
        <x:f>0.063416</x:f>
        <x:v>0.063416</x:v>
      </x:c>
      <x:c r="I69" s="34" t="n">
        <x:f>(E69+G69)*H69</x:f>
        <x:v>22415.559847317392</x:v>
      </x:c>
      <x:c r="J69" s="36" t="n">
        <x:v>0</x:v>
      </x:c>
      <x:c r="K69" s="34" t="n">
        <x:f>IF(J69&gt;0,E69+G69,0)</x:f>
        <x:v>0</x:v>
      </x:c>
      <x:c r="L69" s="34" t="n">
        <x:f>E69+G69-K69</x:f>
        <x:v>353468.52288566594</x:v>
      </x:c>
      <x:c r="M69" s="33" t="str">
        <x:v>SRC-03/SRC-07</x:v>
      </x:c>
      <x:c r="N69" s="33" t="str">
        <x:v>IPCA capitaliza; spread pago</x:v>
      </x:c>
      <x:c r="O69" s="33" t="str">
        <x:f>IF(ABS(L69)&lt;1,"OK",IF(L69&lt;0,"ERRO","ABERTO"))</x:f>
        <x:v>ABERTO</x:v>
      </x:c>
    </x:row>
    <x:row r="70">
      <x:c r="A70" s="33" t="str">
        <x:v>2030/31</x:v>
      </x:c>
      <x:c r="B70" s="33" t="str">
        <x:v>deb-13-2</x:v>
      </x:c>
      <x:c r="C70" s="33" t="str">
        <x:v>Debêntures 13ª emissão, 2ª série</x:v>
      </x:c>
      <x:c r="D70" s="33" t="str">
        <x:v>IPCA</x:v>
      </x:c>
      <x:c r="E70" s="34" t="n">
        <x:f>L69</x:f>
        <x:v>353468.52288566594</x:v>
      </x:c>
      <x:c r="F70" s="37" t="n">
        <x:f>'Premissas'!G43</x:f>
        <x:v>0.056755</x:v>
      </x:c>
      <x:c r="G70" s="37" t="n">
        <x:f>E70*F70</x:f>
        <x:v>20061.10601637597</x:v>
      </x:c>
      <x:c r="H70" s="37" t="n">
        <x:f>0.063416</x:f>
        <x:v>0.063416</x:v>
      </x:c>
      <x:c r="I70" s="34" t="n">
        <x:f>(E70+G70)*H70</x:f>
        <x:v>23687.754946451892</x:v>
      </x:c>
      <x:c r="J70" s="36" t="n">
        <x:v>282357</x:v>
      </x:c>
      <x:c r="K70" s="34" t="n">
        <x:f>IF(J70&gt;0,E70+G70,0)</x:f>
        <x:v>373529.62890204194</x:v>
      </x:c>
      <x:c r="L70" s="34" t="n">
        <x:f>E70+G70-K70</x:f>
        <x:v>0</x:v>
      </x:c>
      <x:c r="M70" s="33" t="str">
        <x:v>SRC-03/SRC-07</x:v>
      </x:c>
      <x:c r="N70" s="33" t="str">
        <x:v>IPCA capitaliza; spread pago</x:v>
      </x:c>
      <x:c r="O70" s="33" t="str">
        <x:f>IF(ABS(L70)&lt;1,"OK",IF(L70&lt;0,"ERRO","ABERTO"))</x:f>
        <x:v>OK</x:v>
      </x:c>
    </x:row>
    <x:row r="71">
      <x:c r="A71" s="33" t="str">
        <x:v>Após 2031</x:v>
      </x:c>
      <x:c r="B71" s="33" t="str">
        <x:v>deb-13-2</x:v>
      </x:c>
      <x:c r="C71" s="33" t="str">
        <x:v>Debêntures 13ª emissão, 2ª série</x:v>
      </x:c>
      <x:c r="D71" s="33" t="str">
        <x:v>IPCA</x:v>
      </x:c>
      <x:c r="E71" s="34" t="n">
        <x:f>L70</x:f>
        <x:v>0</x:v>
      </x:c>
      <x:c r="F71" s="37" t="n">
        <x:f>'Premissas'!H43</x:f>
        <x:v>0.057323</x:v>
      </x:c>
      <x:c r="G71" s="37" t="n">
        <x:f>E71*F71</x:f>
        <x:v>0</x:v>
      </x:c>
      <x:c r="H71" s="37" t="n">
        <x:f>0.063416</x:f>
        <x:v>0.063416</x:v>
      </x:c>
      <x:c r="I71" s="34" t="n">
        <x:f>(E71+G71)*H71</x:f>
        <x:v>0</x:v>
      </x:c>
      <x:c r="J71" s="36" t="n">
        <x:v>0</x:v>
      </x:c>
      <x:c r="K71" s="34" t="n">
        <x:f>IF(J71&gt;0,E71+G71,0)</x:f>
        <x:v>0</x:v>
      </x:c>
      <x:c r="L71" s="34" t="n">
        <x:f>E71+G71-K71</x:f>
        <x:v>0</x:v>
      </x:c>
      <x:c r="M71" s="33" t="str">
        <x:v>SRC-03/SRC-07</x:v>
      </x:c>
      <x:c r="N71" s="33" t="str">
        <x:v>IPCA capitaliza; spread pago</x:v>
      </x:c>
      <x:c r="O71" s="33" t="str">
        <x:f>IF(ABS(L71)&lt;1,"OK",IF(L71&lt;0,"ERRO","ABERTO"))</x:f>
        <x:v>OK</x:v>
      </x:c>
    </x:row>
    <x:row r="72">
      <x:c r="A72" s="33" t="str">
        <x:v>2026/27</x:v>
      </x:c>
      <x:c r="B72" s="33" t="str">
        <x:v>deb-13-3</x:v>
      </x:c>
      <x:c r="C72" s="33" t="str">
        <x:v>Debêntures 13ª emissão, 3ª série</x:v>
      </x:c>
      <x:c r="D72" s="33" t="str">
        <x:v>IPCA</x:v>
      </x:c>
      <x:c r="E72" s="34" t="n">
        <x:f>C13</x:f>
        <x:v>110321</x:v>
      </x:c>
      <x:c r="F72" s="37" t="n">
        <x:f>'Premissas'!C43</x:f>
        <x:v>0.06052</x:v>
      </x:c>
      <x:c r="G72" s="37" t="n">
        <x:f>E72*F72</x:f>
        <x:v>6676.62692</x:v>
      </x:c>
      <x:c r="H72" s="37" t="n">
        <x:f>0.065264</x:f>
        <x:v>0.065264</x:v>
      </x:c>
      <x:c r="I72" s="34" t="n">
        <x:f>(E72+G72)*H72</x:f>
        <x:v>7635.73312330688</x:v>
      </x:c>
      <x:c r="J72" s="36" t="n">
        <x:v>0</x:v>
      </x:c>
      <x:c r="K72" s="34" t="n">
        <x:f>IF(J72&gt;0,E72+G72,0)</x:f>
        <x:v>0</x:v>
      </x:c>
      <x:c r="L72" s="34" t="n">
        <x:f>E72+G72-K72</x:f>
        <x:v>116997.62692</x:v>
      </x:c>
      <x:c r="M72" s="33" t="str">
        <x:v>SRC-03/SRC-07</x:v>
      </x:c>
      <x:c r="N72" s="33" t="str">
        <x:v>IPCA capitaliza; spread pago</x:v>
      </x:c>
      <x:c r="O72" s="33" t="str">
        <x:f>IF(ABS(L72)&lt;1,"OK",IF(L72&lt;0,"ERRO","ABERTO"))</x:f>
        <x:v>ABERTO</x:v>
      </x:c>
    </x:row>
    <x:row r="73">
      <x:c r="A73" s="33" t="str">
        <x:v>2027/28</x:v>
      </x:c>
      <x:c r="B73" s="33" t="str">
        <x:v>deb-13-3</x:v>
      </x:c>
      <x:c r="C73" s="33" t="str">
        <x:v>Debêntures 13ª emissão, 3ª série</x:v>
      </x:c>
      <x:c r="D73" s="33" t="str">
        <x:v>IPCA</x:v>
      </x:c>
      <x:c r="E73" s="34" t="n">
        <x:f>L72</x:f>
        <x:v>116997.62692</x:v>
      </x:c>
      <x:c r="F73" s="37" t="n">
        <x:f>'Premissas'!D43</x:f>
        <x:v>0.057576</x:v>
      </x:c>
      <x:c r="G73" s="37" t="n">
        <x:f>E73*F73</x:f>
        <x:v>6736.25536754592</x:v>
      </x:c>
      <x:c r="H73" s="37" t="n">
        <x:f>0.065264</x:f>
        <x:v>0.065264</x:v>
      </x:c>
      <x:c r="I73" s="34" t="n">
        <x:f>(E73+G73)*H73</x:f>
        <x:v>8075.368093614397</x:v>
      </x:c>
      <x:c r="J73" s="36" t="n">
        <x:v>0</x:v>
      </x:c>
      <x:c r="K73" s="34" t="n">
        <x:f>IF(J73&gt;0,E73+G73,0)</x:f>
        <x:v>0</x:v>
      </x:c>
      <x:c r="L73" s="34" t="n">
        <x:f>E73+G73-K73</x:f>
        <x:v>123733.88228754592</x:v>
      </x:c>
      <x:c r="M73" s="33" t="str">
        <x:v>SRC-03/SRC-07</x:v>
      </x:c>
      <x:c r="N73" s="33" t="str">
        <x:v>IPCA capitaliza; spread pago</x:v>
      </x:c>
      <x:c r="O73" s="33" t="str">
        <x:f>IF(ABS(L73)&lt;1,"OK",IF(L73&lt;0,"ERRO","ABERTO"))</x:f>
        <x:v>ABERTO</x:v>
      </x:c>
    </x:row>
    <x:row r="74">
      <x:c r="A74" s="33" t="str">
        <x:v>2028/29</x:v>
      </x:c>
      <x:c r="B74" s="33" t="str">
        <x:v>deb-13-3</x:v>
      </x:c>
      <x:c r="C74" s="33" t="str">
        <x:v>Debêntures 13ª emissão, 3ª série</x:v>
      </x:c>
      <x:c r="D74" s="33" t="str">
        <x:v>IPCA</x:v>
      </x:c>
      <x:c r="E74" s="34" t="n">
        <x:f>L73</x:f>
        <x:v>123733.88228754592</x:v>
      </x:c>
      <x:c r="F74" s="37" t="n">
        <x:f>'Premissas'!E43</x:f>
        <x:v>0.056539</x:v>
      </x:c>
      <x:c r="G74" s="37" t="n">
        <x:f>E74*F74</x:f>
        <x:v>6995.789970655558</x:v>
      </x:c>
      <x:c r="H74" s="37" t="n">
        <x:f>0.065264</x:f>
        <x:v>0.065264</x:v>
      </x:c>
      <x:c r="I74" s="34" t="n">
        <x:f>(E74+G74)*H74</x:f>
        <x:v>8531.941330259262</x:v>
      </x:c>
      <x:c r="J74" s="36" t="n">
        <x:v>0</x:v>
      </x:c>
      <x:c r="K74" s="34" t="n">
        <x:f>IF(J74&gt;0,E74+G74,0)</x:f>
        <x:v>0</x:v>
      </x:c>
      <x:c r="L74" s="34" t="n">
        <x:f>E74+G74-K74</x:f>
        <x:v>130729.67225820148</x:v>
      </x:c>
      <x:c r="M74" s="33" t="str">
        <x:v>SRC-03/SRC-07</x:v>
      </x:c>
      <x:c r="N74" s="33" t="str">
        <x:v>IPCA capitaliza; spread pago</x:v>
      </x:c>
      <x:c r="O74" s="33" t="str">
        <x:f>IF(ABS(L74)&lt;1,"OK",IF(L74&lt;0,"ERRO","ABERTO"))</x:f>
        <x:v>ABERTO</x:v>
      </x:c>
    </x:row>
    <x:row r="75">
      <x:c r="A75" s="33" t="str">
        <x:v>2029/30</x:v>
      </x:c>
      <x:c r="B75" s="33" t="str">
        <x:v>deb-13-3</x:v>
      </x:c>
      <x:c r="C75" s="33" t="str">
        <x:v>Debêntures 13ª emissão, 3ª série</x:v>
      </x:c>
      <x:c r="D75" s="33" t="str">
        <x:v>IPCA</x:v>
      </x:c>
      <x:c r="E75" s="34" t="n">
        <x:f>L74</x:f>
        <x:v>130729.67225820148</x:v>
      </x:c>
      <x:c r="F75" s="37" t="n">
        <x:f>'Premissas'!F43</x:f>
        <x:v>0.056419</x:v>
      </x:c>
      <x:c r="G75" s="37" t="n">
        <x:f>E75*F75</x:f>
        <x:v>7375.637379135469</x:v>
      </x:c>
      <x:c r="H75" s="37" t="n">
        <x:f>0.065264</x:f>
        <x:v>0.065264</x:v>
      </x:c>
      <x:c r="I75" s="34" t="n">
        <x:f>(E75+G75)*H75</x:f>
        <x:v>9013.304928171157</x:v>
      </x:c>
      <x:c r="J75" s="36" t="n">
        <x:v>0</x:v>
      </x:c>
      <x:c r="K75" s="34" t="n">
        <x:f>IF(J75&gt;0,E75+G75,0)</x:f>
        <x:v>0</x:v>
      </x:c>
      <x:c r="L75" s="34" t="n">
        <x:f>E75+G75-K75</x:f>
        <x:v>138105.30963733693</x:v>
      </x:c>
      <x:c r="M75" s="33" t="str">
        <x:v>SRC-03/SRC-07</x:v>
      </x:c>
      <x:c r="N75" s="33" t="str">
        <x:v>IPCA capitaliza; spread pago</x:v>
      </x:c>
      <x:c r="O75" s="33" t="str">
        <x:f>IF(ABS(L75)&lt;1,"OK",IF(L75&lt;0,"ERRO","ABERTO"))</x:f>
        <x:v>ABERTO</x:v>
      </x:c>
    </x:row>
    <x:row r="76">
      <x:c r="A76" s="33" t="str">
        <x:v>2030/31</x:v>
      </x:c>
      <x:c r="B76" s="33" t="str">
        <x:v>deb-13-3</x:v>
      </x:c>
      <x:c r="C76" s="33" t="str">
        <x:v>Debêntures 13ª emissão, 3ª série</x:v>
      </x:c>
      <x:c r="D76" s="33" t="str">
        <x:v>IPCA</x:v>
      </x:c>
      <x:c r="E76" s="34" t="n">
        <x:f>L75</x:f>
        <x:v>138105.30963733693</x:v>
      </x:c>
      <x:c r="F76" s="37" t="n">
        <x:f>'Premissas'!G43</x:f>
        <x:v>0.056755</x:v>
      </x:c>
      <x:c r="G76" s="37" t="n">
        <x:f>E76*F76</x:f>
        <x:v>7838.166848467057</x:v>
      </x:c>
      <x:c r="H76" s="37" t="n">
        <x:f>0.065264</x:f>
        <x:v>0.065264</x:v>
      </x:c>
      <x:c r="I76" s="34" t="n">
        <x:f>(E76+G76)*H76</x:f>
        <x:v>9524.855049369511</x:v>
      </x:c>
      <x:c r="J76" s="36" t="n">
        <x:v>0</x:v>
      </x:c>
      <x:c r="K76" s="34" t="n">
        <x:f>IF(J76&gt;0,E76+G76,0)</x:f>
        <x:v>0</x:v>
      </x:c>
      <x:c r="L76" s="34" t="n">
        <x:f>E76+G76-K76</x:f>
        <x:v>145943.47648580399</x:v>
      </x:c>
      <x:c r="M76" s="33" t="str">
        <x:v>SRC-03/SRC-07</x:v>
      </x:c>
      <x:c r="N76" s="33" t="str">
        <x:v>IPCA capitaliza; spread pago</x:v>
      </x:c>
      <x:c r="O76" s="33" t="str">
        <x:f>IF(ABS(L76)&lt;1,"OK",IF(L76&lt;0,"ERRO","ABERTO"))</x:f>
        <x:v>ABERTO</x:v>
      </x:c>
    </x:row>
    <x:row r="77">
      <x:c r="A77" s="33" t="str">
        <x:v>Após 2031</x:v>
      </x:c>
      <x:c r="B77" s="33" t="str">
        <x:v>deb-13-3</x:v>
      </x:c>
      <x:c r="C77" s="33" t="str">
        <x:v>Debêntures 13ª emissão, 3ª série</x:v>
      </x:c>
      <x:c r="D77" s="33" t="str">
        <x:v>IPCA</x:v>
      </x:c>
      <x:c r="E77" s="34" t="n">
        <x:f>L76</x:f>
        <x:v>145943.47648580399</x:v>
      </x:c>
      <x:c r="F77" s="37" t="n">
        <x:f>'Premissas'!H43</x:f>
        <x:v>0.057323</x:v>
      </x:c>
      <x:c r="G77" s="37" t="n">
        <x:f>E77*F77</x:f>
        <x:v>8365.917902595742</x:v>
      </x:c>
      <x:c r="H77" s="37" t="n">
        <x:f>0.065264</x:f>
        <x:v>0.065264</x:v>
      </x:c>
      <x:c r="I77" s="34" t="n">
        <x:f>(E77+G77)*H77</x:f>
        <x:v>10070.84831536452</x:v>
      </x:c>
      <x:c r="J77" s="36" t="n">
        <x:v>110321</x:v>
      </x:c>
      <x:c r="K77" s="34" t="n">
        <x:f>IF(J77&gt;0,E77+G77,0)</x:f>
        <x:v>154309.39438839973</x:v>
      </x:c>
      <x:c r="L77" s="34" t="n">
        <x:f>E77+G77-K77</x:f>
        <x:v>0</x:v>
      </x:c>
      <x:c r="M77" s="33" t="str">
        <x:v>SRC-03/SRC-07</x:v>
      </x:c>
      <x:c r="N77" s="33" t="str">
        <x:v>IPCA capitaliza; spread pago</x:v>
      </x:c>
      <x:c r="O77" s="33" t="str">
        <x:f>IF(ABS(L77)&lt;1,"OK",IF(L77&lt;0,"ERRO","ABERTO"))</x:f>
        <x:v>OK</x:v>
      </x:c>
    </x:row>
    <x:row r="78">
      <x:c r="A78" s="33" t="str">
        <x:v>2026/27</x:v>
      </x:c>
      <x:c r="B78" s="33" t="str">
        <x:v>deb-14-1</x:v>
      </x:c>
      <x:c r="C78" s="33" t="str">
        <x:v>Debêntures 14ª emissão, 1ª série</x:v>
      </x:c>
      <x:c r="D78" s="33" t="str">
        <x:v>CDI</x:v>
      </x:c>
      <x:c r="E78" s="34" t="n">
        <x:f>C14</x:f>
        <x:v>438918</x:v>
      </x:c>
      <x:c r="F78" s="37" t="n">
        <x:f>0</x:f>
        <x:v>0</x:v>
      </x:c>
      <x:c r="G78" s="37" t="n">
        <x:f>E78*F78</x:f>
        <x:v>0</x:v>
      </x:c>
      <x:c r="H78" s="37" t="n">
        <x:f>'Premissas'!C39*1.04</x:f>
        <x:v>0.14466400000000001</x:v>
      </x:c>
      <x:c r="I78" s="34" t="n">
        <x:f>(E78+G78)*H78</x:f>
        <x:v>63495.63355200001</x:v>
      </x:c>
      <x:c r="J78" s="36" t="n">
        <x:v>0</x:v>
      </x:c>
      <x:c r="K78" s="34" t="n">
        <x:f>J78</x:f>
        <x:v>0</x:v>
      </x:c>
      <x:c r="L78" s="34" t="n">
        <x:f>E78+G78-K78</x:f>
        <x:v>438918</x:v>
      </x:c>
      <x:c r="M78" s="33" t="str">
        <x:v>SRC-03/SRC-07</x:v>
      </x:c>
      <x:c r="N78" s="33" t="str">
        <x:v>Juros pagos; principal conforme cronograma</x:v>
      </x:c>
      <x:c r="O78" s="33" t="str">
        <x:f>IF(ABS(L78)&lt;1,"OK",IF(L78&lt;0,"ERRO","ABERTO"))</x:f>
        <x:v>ABERTO</x:v>
      </x:c>
    </x:row>
    <x:row r="79">
      <x:c r="A79" s="33" t="str">
        <x:v>2027/28</x:v>
      </x:c>
      <x:c r="B79" s="33" t="str">
        <x:v>deb-14-1</x:v>
      </x:c>
      <x:c r="C79" s="33" t="str">
        <x:v>Debêntures 14ª emissão, 1ª série</x:v>
      </x:c>
      <x:c r="D79" s="33" t="str">
        <x:v>CDI</x:v>
      </x:c>
      <x:c r="E79" s="34" t="n">
        <x:f>L78</x:f>
        <x:v>438918</x:v>
      </x:c>
      <x:c r="F79" s="37" t="n">
        <x:f>0</x:f>
        <x:v>0</x:v>
      </x:c>
      <x:c r="G79" s="37" t="n">
        <x:f>E79*F79</x:f>
        <x:v>0</x:v>
      </x:c>
      <x:c r="H79" s="37" t="n">
        <x:f>'Premissas'!D39*1.04</x:f>
        <x:v>0.14466400000000001</x:v>
      </x:c>
      <x:c r="I79" s="34" t="n">
        <x:f>(E79+G79)*H79</x:f>
        <x:v>63495.63355200001</x:v>
      </x:c>
      <x:c r="J79" s="36" t="n">
        <x:v>0</x:v>
      </x:c>
      <x:c r="K79" s="34" t="n">
        <x:f>J79</x:f>
        <x:v>0</x:v>
      </x:c>
      <x:c r="L79" s="34" t="n">
        <x:f>E79+G79-K79</x:f>
        <x:v>438918</x:v>
      </x:c>
      <x:c r="M79" s="33" t="str">
        <x:v>SRC-03/SRC-07</x:v>
      </x:c>
      <x:c r="N79" s="33" t="str">
        <x:v>Juros pagos; principal conforme cronograma</x:v>
      </x:c>
      <x:c r="O79" s="33" t="str">
        <x:f>IF(ABS(L79)&lt;1,"OK",IF(L79&lt;0,"ERRO","ABERTO"))</x:f>
        <x:v>ABERTO</x:v>
      </x:c>
    </x:row>
    <x:row r="80">
      <x:c r="A80" s="33" t="str">
        <x:v>2028/29</x:v>
      </x:c>
      <x:c r="B80" s="33" t="str">
        <x:v>deb-14-1</x:v>
      </x:c>
      <x:c r="C80" s="33" t="str">
        <x:v>Debêntures 14ª emissão, 1ª série</x:v>
      </x:c>
      <x:c r="D80" s="33" t="str">
        <x:v>CDI</x:v>
      </x:c>
      <x:c r="E80" s="34" t="n">
        <x:f>L79</x:f>
        <x:v>438918</x:v>
      </x:c>
      <x:c r="F80" s="37" t="n">
        <x:f>0</x:f>
        <x:v>0</x:v>
      </x:c>
      <x:c r="G80" s="37" t="n">
        <x:f>E80*F80</x:f>
        <x:v>0</x:v>
      </x:c>
      <x:c r="H80" s="37" t="n">
        <x:f>'Premissas'!E39*1.04</x:f>
        <x:v>0.14466400000000001</x:v>
      </x:c>
      <x:c r="I80" s="34" t="n">
        <x:f>(E80+G80)*H80</x:f>
        <x:v>63495.63355200001</x:v>
      </x:c>
      <x:c r="J80" s="36" t="n">
        <x:v>0</x:v>
      </x:c>
      <x:c r="K80" s="34" t="n">
        <x:f>J80</x:f>
        <x:v>0</x:v>
      </x:c>
      <x:c r="L80" s="34" t="n">
        <x:f>E80+G80-K80</x:f>
        <x:v>438918</x:v>
      </x:c>
      <x:c r="M80" s="33" t="str">
        <x:v>SRC-03/SRC-07</x:v>
      </x:c>
      <x:c r="N80" s="33" t="str">
        <x:v>Juros pagos; principal conforme cronograma</x:v>
      </x:c>
      <x:c r="O80" s="33" t="str">
        <x:f>IF(ABS(L80)&lt;1,"OK",IF(L80&lt;0,"ERRO","ABERTO"))</x:f>
        <x:v>ABERTO</x:v>
      </x:c>
    </x:row>
    <x:row r="81">
      <x:c r="A81" s="33" t="str">
        <x:v>2029/30</x:v>
      </x:c>
      <x:c r="B81" s="33" t="str">
        <x:v>deb-14-1</x:v>
      </x:c>
      <x:c r="C81" s="33" t="str">
        <x:v>Debêntures 14ª emissão, 1ª série</x:v>
      </x:c>
      <x:c r="D81" s="33" t="str">
        <x:v>CDI</x:v>
      </x:c>
      <x:c r="E81" s="34" t="n">
        <x:f>L80</x:f>
        <x:v>438918</x:v>
      </x:c>
      <x:c r="F81" s="37" t="n">
        <x:f>0</x:f>
        <x:v>0</x:v>
      </x:c>
      <x:c r="G81" s="37" t="n">
        <x:f>E81*F81</x:f>
        <x:v>0</x:v>
      </x:c>
      <x:c r="H81" s="37" t="n">
        <x:f>'Premissas'!F39*1.04</x:f>
        <x:v>0.14466400000000001</x:v>
      </x:c>
      <x:c r="I81" s="34" t="n">
        <x:f>(E81+G81)*H81</x:f>
        <x:v>63495.63355200001</x:v>
      </x:c>
      <x:c r="J81" s="36" t="n">
        <x:v>438918</x:v>
      </x:c>
      <x:c r="K81" s="34" t="n">
        <x:f>J81</x:f>
        <x:v>438918</x:v>
      </x:c>
      <x:c r="L81" s="34" t="n">
        <x:f>E81+G81-K81</x:f>
        <x:v>0</x:v>
      </x:c>
      <x:c r="M81" s="33" t="str">
        <x:v>SRC-03/SRC-07</x:v>
      </x:c>
      <x:c r="N81" s="33" t="str">
        <x:v>Juros pagos; principal conforme cronograma</x:v>
      </x:c>
      <x:c r="O81" s="33" t="str">
        <x:f>IF(ABS(L81)&lt;1,"OK",IF(L81&lt;0,"ERRO","ABERTO"))</x:f>
        <x:v>OK</x:v>
      </x:c>
    </x:row>
    <x:row r="82">
      <x:c r="A82" s="33" t="str">
        <x:v>2030/31</x:v>
      </x:c>
      <x:c r="B82" s="33" t="str">
        <x:v>deb-14-1</x:v>
      </x:c>
      <x:c r="C82" s="33" t="str">
        <x:v>Debêntures 14ª emissão, 1ª série</x:v>
      </x:c>
      <x:c r="D82" s="33" t="str">
        <x:v>CDI</x:v>
      </x:c>
      <x:c r="E82" s="34" t="n">
        <x:f>L81</x:f>
        <x:v>0</x:v>
      </x:c>
      <x:c r="F82" s="37" t="n">
        <x:f>0</x:f>
        <x:v>0</x:v>
      </x:c>
      <x:c r="G82" s="37" t="n">
        <x:f>E82*F82</x:f>
        <x:v>0</x:v>
      </x:c>
      <x:c r="H82" s="37" t="n">
        <x:f>'Premissas'!G39*1.04</x:f>
        <x:v>0.14466400000000001</x:v>
      </x:c>
      <x:c r="I82" s="34" t="n">
        <x:f>(E82+G82)*H82</x:f>
        <x:v>0</x:v>
      </x:c>
      <x:c r="J82" s="36" t="n">
        <x:v>0</x:v>
      </x:c>
      <x:c r="K82" s="34" t="n">
        <x:f>J82</x:f>
        <x:v>0</x:v>
      </x:c>
      <x:c r="L82" s="34" t="n">
        <x:f>E82+G82-K82</x:f>
        <x:v>0</x:v>
      </x:c>
      <x:c r="M82" s="33" t="str">
        <x:v>SRC-03/SRC-07</x:v>
      </x:c>
      <x:c r="N82" s="33" t="str">
        <x:v>Juros pagos; principal conforme cronograma</x:v>
      </x:c>
      <x:c r="O82" s="33" t="str">
        <x:f>IF(ABS(L82)&lt;1,"OK",IF(L82&lt;0,"ERRO","ABERTO"))</x:f>
        <x:v>OK</x:v>
      </x:c>
    </x:row>
    <x:row r="83">
      <x:c r="A83" s="33" t="str">
        <x:v>Após 2031</x:v>
      </x:c>
      <x:c r="B83" s="33" t="str">
        <x:v>deb-14-1</x:v>
      </x:c>
      <x:c r="C83" s="33" t="str">
        <x:v>Debêntures 14ª emissão, 1ª série</x:v>
      </x:c>
      <x:c r="D83" s="33" t="str">
        <x:v>CDI</x:v>
      </x:c>
      <x:c r="E83" s="34" t="n">
        <x:f>L82</x:f>
        <x:v>0</x:v>
      </x:c>
      <x:c r="F83" s="37" t="n">
        <x:f>0</x:f>
        <x:v>0</x:v>
      </x:c>
      <x:c r="G83" s="37" t="n">
        <x:f>E83*F83</x:f>
        <x:v>0</x:v>
      </x:c>
      <x:c r="H83" s="37" t="n">
        <x:f>'Premissas'!H39*1.04</x:f>
        <x:v>0.14466400000000001</x:v>
      </x:c>
      <x:c r="I83" s="34" t="n">
        <x:f>(E83+G83)*H83</x:f>
        <x:v>0</x:v>
      </x:c>
      <x:c r="J83" s="36" t="n">
        <x:v>0</x:v>
      </x:c>
      <x:c r="K83" s="34" t="n">
        <x:f>J83</x:f>
        <x:v>0</x:v>
      </x:c>
      <x:c r="L83" s="34" t="n">
        <x:f>E83+G83-K83</x:f>
        <x:v>0</x:v>
      </x:c>
      <x:c r="M83" s="33" t="str">
        <x:v>SRC-03/SRC-07</x:v>
      </x:c>
      <x:c r="N83" s="33" t="str">
        <x:v>Juros pagos; principal conforme cronograma</x:v>
      </x:c>
      <x:c r="O83" s="33" t="str">
        <x:f>IF(ABS(L83)&lt;1,"OK",IF(L83&lt;0,"ERRO","ABERTO"))</x:f>
        <x:v>OK</x:v>
      </x:c>
    </x:row>
    <x:row r="84">
      <x:c r="A84" s="33" t="str">
        <x:v>2026/27</x:v>
      </x:c>
      <x:c r="B84" s="33" t="str">
        <x:v>deb-14-2</x:v>
      </x:c>
      <x:c r="C84" s="33" t="str">
        <x:v>Debêntures 14ª emissão, 2ª série</x:v>
      </x:c>
      <x:c r="D84" s="33" t="str">
        <x:v>IPCA</x:v>
      </x:c>
      <x:c r="E84" s="34" t="n">
        <x:f>C15</x:f>
        <x:v>204059</x:v>
      </x:c>
      <x:c r="F84" s="37" t="n">
        <x:f>'Premissas'!C43</x:f>
        <x:v>0.06052</x:v>
      </x:c>
      <x:c r="G84" s="37" t="n">
        <x:f>E84*F84</x:f>
        <x:v>12349.650679999999</x:v>
      </x:c>
      <x:c r="H84" s="37" t="n">
        <x:f>0.068286</x:f>
        <x:v>0.068286</x:v>
      </x:c>
      <x:c r="I84" s="34" t="n">
        <x:f>(E84+G84)*H84</x:f>
        <x:v>14777.681120334479</x:v>
      </x:c>
      <x:c r="J84" s="36" t="n">
        <x:v>0</x:v>
      </x:c>
      <x:c r="K84" s="34" t="n">
        <x:f>IF(J84&gt;0,E84+G84,0)</x:f>
        <x:v>0</x:v>
      </x:c>
      <x:c r="L84" s="34" t="n">
        <x:f>E84+G84-K84</x:f>
        <x:v>216408.65068</x:v>
      </x:c>
      <x:c r="M84" s="33" t="str">
        <x:v>SRC-03/SRC-07</x:v>
      </x:c>
      <x:c r="N84" s="33" t="str">
        <x:v>IPCA capitaliza; spread pago</x:v>
      </x:c>
      <x:c r="O84" s="33" t="str">
        <x:f>IF(ABS(L84)&lt;1,"OK",IF(L84&lt;0,"ERRO","ABERTO"))</x:f>
        <x:v>ABERTO</x:v>
      </x:c>
    </x:row>
    <x:row r="85">
      <x:c r="A85" s="33" t="str">
        <x:v>2027/28</x:v>
      </x:c>
      <x:c r="B85" s="33" t="str">
        <x:v>deb-14-2</x:v>
      </x:c>
      <x:c r="C85" s="33" t="str">
        <x:v>Debêntures 14ª emissão, 2ª série</x:v>
      </x:c>
      <x:c r="D85" s="33" t="str">
        <x:v>IPCA</x:v>
      </x:c>
      <x:c r="E85" s="34" t="n">
        <x:f>L84</x:f>
        <x:v>216408.65068</x:v>
      </x:c>
      <x:c r="F85" s="37" t="n">
        <x:f>'Premissas'!D43</x:f>
        <x:v>0.057576</x:v>
      </x:c>
      <x:c r="G85" s="37" t="n">
        <x:f>E85*F85</x:f>
        <x:v>12459.94447155168</x:v>
      </x:c>
      <x:c r="H85" s="37" t="n">
        <x:f>0.068286</x:f>
        <x:v>0.068286</x:v>
      </x:c>
      <x:c r="I85" s="34" t="n">
        <x:f>(E85+G85)*H85</x:f>
        <x:v>15628.520888518859</x:v>
      </x:c>
      <x:c r="J85" s="36" t="n">
        <x:v>0</x:v>
      </x:c>
      <x:c r="K85" s="34" t="n">
        <x:f>IF(J85&gt;0,E85+G85,0)</x:f>
        <x:v>0</x:v>
      </x:c>
      <x:c r="L85" s="34" t="n">
        <x:f>E85+G85-K85</x:f>
        <x:v>228868.59515155168</x:v>
      </x:c>
      <x:c r="M85" s="33" t="str">
        <x:v>SRC-03/SRC-07</x:v>
      </x:c>
      <x:c r="N85" s="33" t="str">
        <x:v>IPCA capitaliza; spread pago</x:v>
      </x:c>
      <x:c r="O85" s="33" t="str">
        <x:f>IF(ABS(L85)&lt;1,"OK",IF(L85&lt;0,"ERRO","ABERTO"))</x:f>
        <x:v>ABERTO</x:v>
      </x:c>
    </x:row>
    <x:row r="86">
      <x:c r="A86" s="33" t="str">
        <x:v>2028/29</x:v>
      </x:c>
      <x:c r="B86" s="33" t="str">
        <x:v>deb-14-2</x:v>
      </x:c>
      <x:c r="C86" s="33" t="str">
        <x:v>Debêntures 14ª emissão, 2ª série</x:v>
      </x:c>
      <x:c r="D86" s="33" t="str">
        <x:v>IPCA</x:v>
      </x:c>
      <x:c r="E86" s="34" t="n">
        <x:f>L85</x:f>
        <x:v>228868.59515155168</x:v>
      </x:c>
      <x:c r="F86" s="37" t="n">
        <x:f>'Premissas'!E43</x:f>
        <x:v>0.056539</x:v>
      </x:c>
      <x:c r="G86" s="37" t="n">
        <x:f>E86*F86</x:f>
        <x:v>12940.00150127358</x:v>
      </x:c>
      <x:c r="H86" s="37" t="n">
        <x:f>0.068286</x:f>
        <x:v>0.068286</x:v>
      </x:c>
      <x:c r="I86" s="34" t="n">
        <x:f>(E86+G86)*H86</x:f>
        <x:v>16512.141831034824</x:v>
      </x:c>
      <x:c r="J86" s="36" t="n">
        <x:v>0</x:v>
      </x:c>
      <x:c r="K86" s="34" t="n">
        <x:f>IF(J86&gt;0,E86+G86,0)</x:f>
        <x:v>0</x:v>
      </x:c>
      <x:c r="L86" s="34" t="n">
        <x:f>E86+G86-K86</x:f>
        <x:v>241808.59665282525</x:v>
      </x:c>
      <x:c r="M86" s="33" t="str">
        <x:v>SRC-03/SRC-07</x:v>
      </x:c>
      <x:c r="N86" s="33" t="str">
        <x:v>IPCA capitaliza; spread pago</x:v>
      </x:c>
      <x:c r="O86" s="33" t="str">
        <x:f>IF(ABS(L86)&lt;1,"OK",IF(L86&lt;0,"ERRO","ABERTO"))</x:f>
        <x:v>ABERTO</x:v>
      </x:c>
    </x:row>
    <x:row r="87">
      <x:c r="A87" s="33" t="str">
        <x:v>2029/30</x:v>
      </x:c>
      <x:c r="B87" s="33" t="str">
        <x:v>deb-14-2</x:v>
      </x:c>
      <x:c r="C87" s="33" t="str">
        <x:v>Debêntures 14ª emissão, 2ª série</x:v>
      </x:c>
      <x:c r="D87" s="33" t="str">
        <x:v>IPCA</x:v>
      </x:c>
      <x:c r="E87" s="34" t="n">
        <x:f>L86</x:f>
        <x:v>241808.59665282525</x:v>
      </x:c>
      <x:c r="F87" s="37" t="n">
        <x:f>'Premissas'!F43</x:f>
        <x:v>0.056419</x:v>
      </x:c>
      <x:c r="G87" s="37" t="n">
        <x:f>E87*F87</x:f>
        <x:v>13642.599214555747</x:v>
      </x:c>
      <x:c r="H87" s="37" t="n">
        <x:f>0.068286</x:f>
        <x:v>0.068286</x:v>
      </x:c>
      <x:c r="I87" s="34" t="n">
        <x:f>(E87+G87)*H87</x:f>
        <x:v>17443.74036099998</x:v>
      </x:c>
      <x:c r="J87" s="36" t="n">
        <x:v>0</x:v>
      </x:c>
      <x:c r="K87" s="34" t="n">
        <x:f>IF(J87&gt;0,E87+G87,0)</x:f>
        <x:v>0</x:v>
      </x:c>
      <x:c r="L87" s="34" t="n">
        <x:f>E87+G87-K87</x:f>
        <x:v>255451.195867381</x:v>
      </x:c>
      <x:c r="M87" s="33" t="str">
        <x:v>SRC-03/SRC-07</x:v>
      </x:c>
      <x:c r="N87" s="33" t="str">
        <x:v>IPCA capitaliza; spread pago</x:v>
      </x:c>
      <x:c r="O87" s="33" t="str">
        <x:f>IF(ABS(L87)&lt;1,"OK",IF(L87&lt;0,"ERRO","ABERTO"))</x:f>
        <x:v>ABERTO</x:v>
      </x:c>
    </x:row>
    <x:row r="88">
      <x:c r="A88" s="33" t="str">
        <x:v>2030/31</x:v>
      </x:c>
      <x:c r="B88" s="33" t="str">
        <x:v>deb-14-2</x:v>
      </x:c>
      <x:c r="C88" s="33" t="str">
        <x:v>Debêntures 14ª emissão, 2ª série</x:v>
      </x:c>
      <x:c r="D88" s="33" t="str">
        <x:v>IPCA</x:v>
      </x:c>
      <x:c r="E88" s="34" t="n">
        <x:f>L87</x:f>
        <x:v>255451.195867381</x:v>
      </x:c>
      <x:c r="F88" s="37" t="n">
        <x:f>'Premissas'!G43</x:f>
        <x:v>0.056755</x:v>
      </x:c>
      <x:c r="G88" s="37" t="n">
        <x:f>E88*F88</x:f>
        <x:v>14498.13262145321</x:v>
      </x:c>
      <x:c r="H88" s="37" t="n">
        <x:f>0.068286</x:f>
        <x:v>0.068286</x:v>
      </x:c>
      <x:c r="I88" s="34" t="n">
        <x:f>(E88+G88)*H88</x:f>
        <x:v>18433.75984518853</x:v>
      </x:c>
      <x:c r="J88" s="36" t="n">
        <x:v>0</x:v>
      </x:c>
      <x:c r="K88" s="34" t="n">
        <x:f>IF(J88&gt;0,E88+G88,0)</x:f>
        <x:v>0</x:v>
      </x:c>
      <x:c r="L88" s="34" t="n">
        <x:f>E88+G88-K88</x:f>
        <x:v>269949.3284888342</x:v>
      </x:c>
      <x:c r="M88" s="33" t="str">
        <x:v>SRC-03/SRC-07</x:v>
      </x:c>
      <x:c r="N88" s="33" t="str">
        <x:v>IPCA capitaliza; spread pago</x:v>
      </x:c>
      <x:c r="O88" s="33" t="str">
        <x:f>IF(ABS(L88)&lt;1,"OK",IF(L88&lt;0,"ERRO","ABERTO"))</x:f>
        <x:v>ABERTO</x:v>
      </x:c>
    </x:row>
    <x:row r="89">
      <x:c r="A89" s="33" t="str">
        <x:v>Após 2031</x:v>
      </x:c>
      <x:c r="B89" s="33" t="str">
        <x:v>deb-14-2</x:v>
      </x:c>
      <x:c r="C89" s="33" t="str">
        <x:v>Debêntures 14ª emissão, 2ª série</x:v>
      </x:c>
      <x:c r="D89" s="33" t="str">
        <x:v>IPCA</x:v>
      </x:c>
      <x:c r="E89" s="34" t="n">
        <x:f>L88</x:f>
        <x:v>269949.3284888342</x:v>
      </x:c>
      <x:c r="F89" s="37" t="n">
        <x:f>'Premissas'!H43</x:f>
        <x:v>0.057323</x:v>
      </x:c>
      <x:c r="G89" s="37" t="n">
        <x:f>E89*F89</x:f>
        <x:v>15474.305356965442</x:v>
      </x:c>
      <x:c r="H89" s="37" t="n">
        <x:f>0.068286</x:f>
        <x:v>0.068286</x:v>
      </x:c>
      <x:c r="I89" s="34" t="n">
        <x:f>(E89+G89)*H89</x:f>
        <x:v>19490.438260794275</x:v>
      </x:c>
      <x:c r="J89" s="36" t="n">
        <x:v>204059</x:v>
      </x:c>
      <x:c r="K89" s="34" t="n">
        <x:f>IF(J89&gt;0,E89+G89,0)</x:f>
        <x:v>285423.63384579966</x:v>
      </x:c>
      <x:c r="L89" s="34" t="n">
        <x:f>E89+G89-K89</x:f>
        <x:v>0</x:v>
      </x:c>
      <x:c r="M89" s="33" t="str">
        <x:v>SRC-03/SRC-07</x:v>
      </x:c>
      <x:c r="N89" s="33" t="str">
        <x:v>IPCA capitaliza; spread pago</x:v>
      </x:c>
      <x:c r="O89" s="33" t="str">
        <x:f>IF(ABS(L89)&lt;1,"OK",IF(L89&lt;0,"ERRO","ABERTO"))</x:f>
        <x:v>OK</x:v>
      </x:c>
    </x:row>
    <x:row r="90">
      <x:c r="A90" s="33" t="str">
        <x:v>2026/27</x:v>
      </x:c>
      <x:c r="B90" s="33" t="str">
        <x:v>deb-14-3</x:v>
      </x:c>
      <x:c r="C90" s="33" t="str">
        <x:v>Debêntures 14ª emissão, 3ª série</x:v>
      </x:c>
      <x:c r="D90" s="33" t="str">
        <x:v>IPCA</x:v>
      </x:c>
      <x:c r="E90" s="34" t="n">
        <x:f>C16</x:f>
        <x:v>66024</x:v>
      </x:c>
      <x:c r="F90" s="37" t="n">
        <x:f>'Premissas'!C43</x:f>
        <x:v>0.06052</x:v>
      </x:c>
      <x:c r="G90" s="37" t="n">
        <x:f>E90*F90</x:f>
        <x:v>3995.7724799999996</x:v>
      </x:c>
      <x:c r="H90" s="37" t="n">
        <x:f>0.069982</x:f>
        <x:v>0.069982</x:v>
      </x:c>
      <x:c r="I90" s="34" t="n">
        <x:f>(E90+G90)*H90</x:f>
        <x:v>4900.12371769536</x:v>
      </x:c>
      <x:c r="J90" s="36" t="n">
        <x:v>0</x:v>
      </x:c>
      <x:c r="K90" s="34" t="n">
        <x:f>IF(J90&gt;0,E90+G90,0)</x:f>
        <x:v>0</x:v>
      </x:c>
      <x:c r="L90" s="34" t="n">
        <x:f>E90+G90-K90</x:f>
        <x:v>70019.77248</x:v>
      </x:c>
      <x:c r="M90" s="33" t="str">
        <x:v>SRC-03/SRC-07</x:v>
      </x:c>
      <x:c r="N90" s="33" t="str">
        <x:v>IPCA capitaliza; spread pago</x:v>
      </x:c>
      <x:c r="O90" s="33" t="str">
        <x:f>IF(ABS(L90)&lt;1,"OK",IF(L90&lt;0,"ERRO","ABERTO"))</x:f>
        <x:v>ABERTO</x:v>
      </x:c>
    </x:row>
    <x:row r="91">
      <x:c r="A91" s="33" t="str">
        <x:v>2027/28</x:v>
      </x:c>
      <x:c r="B91" s="33" t="str">
        <x:v>deb-14-3</x:v>
      </x:c>
      <x:c r="C91" s="33" t="str">
        <x:v>Debêntures 14ª emissão, 3ª série</x:v>
      </x:c>
      <x:c r="D91" s="33" t="str">
        <x:v>IPCA</x:v>
      </x:c>
      <x:c r="E91" s="34" t="n">
        <x:f>L90</x:f>
        <x:v>70019.77248</x:v>
      </x:c>
      <x:c r="F91" s="37" t="n">
        <x:f>'Premissas'!D43</x:f>
        <x:v>0.057576</x:v>
      </x:c>
      <x:c r="G91" s="37" t="n">
        <x:f>E91*F91</x:f>
        <x:v>4031.45842030848</x:v>
      </x:c>
      <x:c r="H91" s="37" t="n">
        <x:f>0.069982</x:f>
        <x:v>0.069982</x:v>
      </x:c>
      <x:c r="I91" s="34" t="n">
        <x:f>(E91+G91)*H91</x:f>
        <x:v>5182.253240865389</x:v>
      </x:c>
      <x:c r="J91" s="36" t="n">
        <x:v>0</x:v>
      </x:c>
      <x:c r="K91" s="34" t="n">
        <x:f>IF(J91&gt;0,E91+G91,0)</x:f>
        <x:v>0</x:v>
      </x:c>
      <x:c r="L91" s="34" t="n">
        <x:f>E91+G91-K91</x:f>
        <x:v>74051.23090030848</x:v>
      </x:c>
      <x:c r="M91" s="33" t="str">
        <x:v>SRC-03/SRC-07</x:v>
      </x:c>
      <x:c r="N91" s="33" t="str">
        <x:v>IPCA capitaliza; spread pago</x:v>
      </x:c>
      <x:c r="O91" s="33" t="str">
        <x:f>IF(ABS(L91)&lt;1,"OK",IF(L91&lt;0,"ERRO","ABERTO"))</x:f>
        <x:v>ABERTO</x:v>
      </x:c>
    </x:row>
    <x:row r="92">
      <x:c r="A92" s="33" t="str">
        <x:v>2028/29</x:v>
      </x:c>
      <x:c r="B92" s="33" t="str">
        <x:v>deb-14-3</x:v>
      </x:c>
      <x:c r="C92" s="33" t="str">
        <x:v>Debêntures 14ª emissão, 3ª série</x:v>
      </x:c>
      <x:c r="D92" s="33" t="str">
        <x:v>IPCA</x:v>
      </x:c>
      <x:c r="E92" s="34" t="n">
        <x:f>L91</x:f>
        <x:v>74051.23090030848</x:v>
      </x:c>
      <x:c r="F92" s="37" t="n">
        <x:f>'Premissas'!E43</x:f>
        <x:v>0.056539</x:v>
      </x:c>
      <x:c r="G92" s="37" t="n">
        <x:f>E92*F92</x:f>
        <x:v>4186.782543872541</x:v>
      </x:c>
      <x:c r="H92" s="37" t="n">
        <x:f>0.069982</x:f>
        <x:v>0.069982</x:v>
      </x:c>
      <x:c r="I92" s="34" t="n">
        <x:f>(E92+G92)*H92</x:f>
        <x:v>5475.252656850676</x:v>
      </x:c>
      <x:c r="J92" s="36" t="n">
        <x:v>0</x:v>
      </x:c>
      <x:c r="K92" s="34" t="n">
        <x:f>IF(J92&gt;0,E92+G92,0)</x:f>
        <x:v>0</x:v>
      </x:c>
      <x:c r="L92" s="34" t="n">
        <x:f>E92+G92-K92</x:f>
        <x:v>78238.01344418102</x:v>
      </x:c>
      <x:c r="M92" s="33" t="str">
        <x:v>SRC-03/SRC-07</x:v>
      </x:c>
      <x:c r="N92" s="33" t="str">
        <x:v>IPCA capitaliza; spread pago</x:v>
      </x:c>
      <x:c r="O92" s="33" t="str">
        <x:f>IF(ABS(L92)&lt;1,"OK",IF(L92&lt;0,"ERRO","ABERTO"))</x:f>
        <x:v>ABERTO</x:v>
      </x:c>
    </x:row>
    <x:row r="93">
      <x:c r="A93" s="33" t="str">
        <x:v>2029/30</x:v>
      </x:c>
      <x:c r="B93" s="33" t="str">
        <x:v>deb-14-3</x:v>
      </x:c>
      <x:c r="C93" s="33" t="str">
        <x:v>Debêntures 14ª emissão, 3ª série</x:v>
      </x:c>
      <x:c r="D93" s="33" t="str">
        <x:v>IPCA</x:v>
      </x:c>
      <x:c r="E93" s="34" t="n">
        <x:f>L92</x:f>
        <x:v>78238.01344418102</x:v>
      </x:c>
      <x:c r="F93" s="37" t="n">
        <x:f>'Premissas'!F43</x:f>
        <x:v>0.056419</x:v>
      </x:c>
      <x:c r="G93" s="37" t="n">
        <x:f>E93*F93</x:f>
        <x:v>4414.110480507249</x:v>
      </x:c>
      <x:c r="H93" s="37" t="n">
        <x:f>0.069982</x:f>
        <x:v>0.069982</x:v>
      </x:c>
      <x:c r="I93" s="34" t="n">
        <x:f>(E93+G93)*H93</x:f>
        <x:v>5784.160936497535</x:v>
      </x:c>
      <x:c r="J93" s="36" t="n">
        <x:v>0</x:v>
      </x:c>
      <x:c r="K93" s="34" t="n">
        <x:f>IF(J93&gt;0,E93+G93,0)</x:f>
        <x:v>0</x:v>
      </x:c>
      <x:c r="L93" s="34" t="n">
        <x:f>E93+G93-K93</x:f>
        <x:v>82652.12392468828</x:v>
      </x:c>
      <x:c r="M93" s="33" t="str">
        <x:v>SRC-03/SRC-07</x:v>
      </x:c>
      <x:c r="N93" s="33" t="str">
        <x:v>IPCA capitaliza; spread pago</x:v>
      </x:c>
      <x:c r="O93" s="33" t="str">
        <x:f>IF(ABS(L93)&lt;1,"OK",IF(L93&lt;0,"ERRO","ABERTO"))</x:f>
        <x:v>ABERTO</x:v>
      </x:c>
    </x:row>
    <x:row r="94">
      <x:c r="A94" s="33" t="str">
        <x:v>2030/31</x:v>
      </x:c>
      <x:c r="B94" s="33" t="str">
        <x:v>deb-14-3</x:v>
      </x:c>
      <x:c r="C94" s="33" t="str">
        <x:v>Debêntures 14ª emissão, 3ª série</x:v>
      </x:c>
      <x:c r="D94" s="33" t="str">
        <x:v>IPCA</x:v>
      </x:c>
      <x:c r="E94" s="34" t="n">
        <x:f>L93</x:f>
        <x:v>82652.12392468828</x:v>
      </x:c>
      <x:c r="F94" s="37" t="n">
        <x:f>'Premissas'!G43</x:f>
        <x:v>0.056755</x:v>
      </x:c>
      <x:c r="G94" s="37" t="n">
        <x:f>E94*F94</x:f>
        <x:v>4690.921293345683</x:v>
      </x:c>
      <x:c r="H94" s="37" t="n">
        <x:f>0.069982</x:f>
        <x:v>0.069982</x:v>
      </x:c>
      <x:c r="I94" s="34" t="n">
        <x:f>(E94+G94)*H94</x:f>
        <x:v>6112.440990448453</x:v>
      </x:c>
      <x:c r="J94" s="36" t="n">
        <x:v>0</x:v>
      </x:c>
      <x:c r="K94" s="34" t="n">
        <x:f>IF(J94&gt;0,E94+G94,0)</x:f>
        <x:v>0</x:v>
      </x:c>
      <x:c r="L94" s="34" t="n">
        <x:f>E94+G94-K94</x:f>
        <x:v>87343.04521803396</x:v>
      </x:c>
      <x:c r="M94" s="33" t="str">
        <x:v>SRC-03/SRC-07</x:v>
      </x:c>
      <x:c r="N94" s="33" t="str">
        <x:v>IPCA capitaliza; spread pago</x:v>
      </x:c>
      <x:c r="O94" s="33" t="str">
        <x:f>IF(ABS(L94)&lt;1,"OK",IF(L94&lt;0,"ERRO","ABERTO"))</x:f>
        <x:v>ABERTO</x:v>
      </x:c>
    </x:row>
    <x:row r="95">
      <x:c r="A95" s="33" t="str">
        <x:v>Após 2031</x:v>
      </x:c>
      <x:c r="B95" s="33" t="str">
        <x:v>deb-14-3</x:v>
      </x:c>
      <x:c r="C95" s="33" t="str">
        <x:v>Debêntures 14ª emissão, 3ª série</x:v>
      </x:c>
      <x:c r="D95" s="33" t="str">
        <x:v>IPCA</x:v>
      </x:c>
      <x:c r="E95" s="34" t="n">
        <x:f>L94</x:f>
        <x:v>87343.04521803396</x:v>
      </x:c>
      <x:c r="F95" s="37" t="n">
        <x:f>'Premissas'!H43</x:f>
        <x:v>0.057323</x:v>
      </x:c>
      <x:c r="G95" s="37" t="n">
        <x:f>E95*F95</x:f>
        <x:v>5006.76538103336</x:v>
      </x:c>
      <x:c r="H95" s="37" t="n">
        <x:f>0.069982</x:f>
        <x:v>0.069982</x:v>
      </x:c>
      <x:c r="I95" s="34" t="n">
        <x:f>(E95+G95)*H95</x:f>
        <x:v>6462.824445343929</x:v>
      </x:c>
      <x:c r="J95" s="36" t="n">
        <x:v>66024</x:v>
      </x:c>
      <x:c r="K95" s="34" t="n">
        <x:f>IF(J95&gt;0,E95+G95,0)</x:f>
        <x:v>92349.81059906732</x:v>
      </x:c>
      <x:c r="L95" s="34" t="n">
        <x:f>E95+G95-K95</x:f>
        <x:v>0</x:v>
      </x:c>
      <x:c r="M95" s="33" t="str">
        <x:v>SRC-03/SRC-07</x:v>
      </x:c>
      <x:c r="N95" s="33" t="str">
        <x:v>IPCA capitaliza; spread pago</x:v>
      </x:c>
      <x:c r="O95" s="33" t="str">
        <x:f>IF(ABS(L95)&lt;1,"OK",IF(L95&lt;0,"ERRO","ABERTO"))</x:f>
        <x:v>OK</x:v>
      </x:c>
    </x:row>
    <x:row r="96">
      <x:c r="A96" s="33" t="str">
        <x:v>2026/27</x:v>
      </x:c>
      <x:c r="B96" s="33" t="str">
        <x:v>deb-15-1</x:v>
      </x:c>
      <x:c r="C96" s="33" t="str">
        <x:v>Debêntures 15ª emissão, 1ª série</x:v>
      </x:c>
      <x:c r="D96" s="33" t="str">
        <x:v>CDI</x:v>
      </x:c>
      <x:c r="E96" s="34" t="n">
        <x:f>C17</x:f>
        <x:v>770123</x:v>
      </x:c>
      <x:c r="F96" s="37" t="n">
        <x:f>0</x:f>
        <x:v>0</x:v>
      </x:c>
      <x:c r="G96" s="37" t="n">
        <x:f>E96*F96</x:f>
        <x:v>0</x:v>
      </x:c>
      <x:c r="H96" s="37" t="n">
        <x:f>'Premissas'!C39*1.05</x:f>
        <x:v>0.14605500000000002</x:v>
      </x:c>
      <x:c r="I96" s="34" t="n">
        <x:f>(E96+G96)*H96</x:f>
        <x:v>112480.31476500002</x:v>
      </x:c>
      <x:c r="J96" s="36" t="n">
        <x:v>0</x:v>
      </x:c>
      <x:c r="K96" s="34" t="n">
        <x:f>J96</x:f>
        <x:v>0</x:v>
      </x:c>
      <x:c r="L96" s="34" t="n">
        <x:f>E96+G96-K96</x:f>
        <x:v>770123</x:v>
      </x:c>
      <x:c r="M96" s="33" t="str">
        <x:v>SRC-03/SRC-07</x:v>
      </x:c>
      <x:c r="N96" s="33" t="str">
        <x:v>Juros pagos; principal conforme cronograma</x:v>
      </x:c>
      <x:c r="O96" s="33" t="str">
        <x:f>IF(ABS(L96)&lt;1,"OK",IF(L96&lt;0,"ERRO","ABERTO"))</x:f>
        <x:v>ABERTO</x:v>
      </x:c>
    </x:row>
    <x:row r="97">
      <x:c r="A97" s="33" t="str">
        <x:v>2027/28</x:v>
      </x:c>
      <x:c r="B97" s="33" t="str">
        <x:v>deb-15-1</x:v>
      </x:c>
      <x:c r="C97" s="33" t="str">
        <x:v>Debêntures 15ª emissão, 1ª série</x:v>
      </x:c>
      <x:c r="D97" s="33" t="str">
        <x:v>CDI</x:v>
      </x:c>
      <x:c r="E97" s="34" t="n">
        <x:f>L96</x:f>
        <x:v>770123</x:v>
      </x:c>
      <x:c r="F97" s="37" t="n">
        <x:f>0</x:f>
        <x:v>0</x:v>
      </x:c>
      <x:c r="G97" s="37" t="n">
        <x:f>E97*F97</x:f>
        <x:v>0</x:v>
      </x:c>
      <x:c r="H97" s="37" t="n">
        <x:f>'Premissas'!D39*1.05</x:f>
        <x:v>0.14605500000000002</x:v>
      </x:c>
      <x:c r="I97" s="34" t="n">
        <x:f>(E97+G97)*H97</x:f>
        <x:v>112480.31476500002</x:v>
      </x:c>
      <x:c r="J97" s="36" t="n">
        <x:v>0</x:v>
      </x:c>
      <x:c r="K97" s="34" t="n">
        <x:f>J97</x:f>
        <x:v>0</x:v>
      </x:c>
      <x:c r="L97" s="34" t="n">
        <x:f>E97+G97-K97</x:f>
        <x:v>770123</x:v>
      </x:c>
      <x:c r="M97" s="33" t="str">
        <x:v>SRC-03/SRC-07</x:v>
      </x:c>
      <x:c r="N97" s="33" t="str">
        <x:v>Juros pagos; principal conforme cronograma</x:v>
      </x:c>
      <x:c r="O97" s="33" t="str">
        <x:f>IF(ABS(L97)&lt;1,"OK",IF(L97&lt;0,"ERRO","ABERTO"))</x:f>
        <x:v>ABERTO</x:v>
      </x:c>
    </x:row>
    <x:row r="98">
      <x:c r="A98" s="33" t="str">
        <x:v>2028/29</x:v>
      </x:c>
      <x:c r="B98" s="33" t="str">
        <x:v>deb-15-1</x:v>
      </x:c>
      <x:c r="C98" s="33" t="str">
        <x:v>Debêntures 15ª emissão, 1ª série</x:v>
      </x:c>
      <x:c r="D98" s="33" t="str">
        <x:v>CDI</x:v>
      </x:c>
      <x:c r="E98" s="34" t="n">
        <x:f>L97</x:f>
        <x:v>770123</x:v>
      </x:c>
      <x:c r="F98" s="37" t="n">
        <x:f>0</x:f>
        <x:v>0</x:v>
      </x:c>
      <x:c r="G98" s="37" t="n">
        <x:f>E98*F98</x:f>
        <x:v>0</x:v>
      </x:c>
      <x:c r="H98" s="37" t="n">
        <x:f>'Premissas'!E39*1.05</x:f>
        <x:v>0.14605500000000002</x:v>
      </x:c>
      <x:c r="I98" s="34" t="n">
        <x:f>(E98+G98)*H98</x:f>
        <x:v>112480.31476500002</x:v>
      </x:c>
      <x:c r="J98" s="36" t="n">
        <x:v>0</x:v>
      </x:c>
      <x:c r="K98" s="34" t="n">
        <x:f>J98</x:f>
        <x:v>0</x:v>
      </x:c>
      <x:c r="L98" s="34" t="n">
        <x:f>E98+G98-K98</x:f>
        <x:v>770123</x:v>
      </x:c>
      <x:c r="M98" s="33" t="str">
        <x:v>SRC-03/SRC-07</x:v>
      </x:c>
      <x:c r="N98" s="33" t="str">
        <x:v>Juros pagos; principal conforme cronograma</x:v>
      </x:c>
      <x:c r="O98" s="33" t="str">
        <x:f>IF(ABS(L98)&lt;1,"OK",IF(L98&lt;0,"ERRO","ABERTO"))</x:f>
        <x:v>ABERTO</x:v>
      </x:c>
    </x:row>
    <x:row r="99">
      <x:c r="A99" s="33" t="str">
        <x:v>2029/30</x:v>
      </x:c>
      <x:c r="B99" s="33" t="str">
        <x:v>deb-15-1</x:v>
      </x:c>
      <x:c r="C99" s="33" t="str">
        <x:v>Debêntures 15ª emissão, 1ª série</x:v>
      </x:c>
      <x:c r="D99" s="33" t="str">
        <x:v>CDI</x:v>
      </x:c>
      <x:c r="E99" s="34" t="n">
        <x:f>L98</x:f>
        <x:v>770123</x:v>
      </x:c>
      <x:c r="F99" s="37" t="n">
        <x:f>0</x:f>
        <x:v>0</x:v>
      </x:c>
      <x:c r="G99" s="37" t="n">
        <x:f>E99*F99</x:f>
        <x:v>0</x:v>
      </x:c>
      <x:c r="H99" s="37" t="n">
        <x:f>'Premissas'!F39*1.05</x:f>
        <x:v>0.14605500000000002</x:v>
      </x:c>
      <x:c r="I99" s="34" t="n">
        <x:f>(E99+G99)*H99</x:f>
        <x:v>112480.31476500002</x:v>
      </x:c>
      <x:c r="J99" s="36" t="n">
        <x:v>119039</x:v>
      </x:c>
      <x:c r="K99" s="34" t="n">
        <x:f>J99</x:f>
        <x:v>119039</x:v>
      </x:c>
      <x:c r="L99" s="34" t="n">
        <x:f>E99+G99-K99</x:f>
        <x:v>651084</x:v>
      </x:c>
      <x:c r="M99" s="33" t="str">
        <x:v>SRC-03/SRC-07</x:v>
      </x:c>
      <x:c r="N99" s="33" t="str">
        <x:v>Juros pagos; principal conforme cronograma</x:v>
      </x:c>
      <x:c r="O99" s="33" t="str">
        <x:f>IF(ABS(L99)&lt;1,"OK",IF(L99&lt;0,"ERRO","ABERTO"))</x:f>
        <x:v>ABERTO</x:v>
      </x:c>
    </x:row>
    <x:row r="100">
      <x:c r="A100" s="33" t="str">
        <x:v>2030/31</x:v>
      </x:c>
      <x:c r="B100" s="33" t="str">
        <x:v>deb-15-1</x:v>
      </x:c>
      <x:c r="C100" s="33" t="str">
        <x:v>Debêntures 15ª emissão, 1ª série</x:v>
      </x:c>
      <x:c r="D100" s="33" t="str">
        <x:v>CDI</x:v>
      </x:c>
      <x:c r="E100" s="34" t="n">
        <x:f>L99</x:f>
        <x:v>651084</x:v>
      </x:c>
      <x:c r="F100" s="37" t="n">
        <x:f>0</x:f>
        <x:v>0</x:v>
      </x:c>
      <x:c r="G100" s="37" t="n">
        <x:f>E100*F100</x:f>
        <x:v>0</x:v>
      </x:c>
      <x:c r="H100" s="37" t="n">
        <x:f>'Premissas'!G39*1.05</x:f>
        <x:v>0.14605500000000002</x:v>
      </x:c>
      <x:c r="I100" s="34" t="n">
        <x:f>(E100+G100)*H100</x:f>
        <x:v>95094.07362000001</x:v>
      </x:c>
      <x:c r="J100" s="36" t="n">
        <x:v>651084</x:v>
      </x:c>
      <x:c r="K100" s="34" t="n">
        <x:f>J100</x:f>
        <x:v>651084</x:v>
      </x:c>
      <x:c r="L100" s="34" t="n">
        <x:f>E100+G100-K100</x:f>
        <x:v>0</x:v>
      </x:c>
      <x:c r="M100" s="33" t="str">
        <x:v>SRC-03/SRC-07</x:v>
      </x:c>
      <x:c r="N100" s="33" t="str">
        <x:v>Juros pagos; principal conforme cronograma</x:v>
      </x:c>
      <x:c r="O100" s="33" t="str">
        <x:f>IF(ABS(L100)&lt;1,"OK",IF(L100&lt;0,"ERRO","ABERTO"))</x:f>
        <x:v>OK</x:v>
      </x:c>
    </x:row>
    <x:row r="101">
      <x:c r="A101" s="33" t="str">
        <x:v>Após 2031</x:v>
      </x:c>
      <x:c r="B101" s="33" t="str">
        <x:v>deb-15-1</x:v>
      </x:c>
      <x:c r="C101" s="33" t="str">
        <x:v>Debêntures 15ª emissão, 1ª série</x:v>
      </x:c>
      <x:c r="D101" s="33" t="str">
        <x:v>CDI</x:v>
      </x:c>
      <x:c r="E101" s="34" t="n">
        <x:f>L100</x:f>
        <x:v>0</x:v>
      </x:c>
      <x:c r="F101" s="37" t="n">
        <x:f>0</x:f>
        <x:v>0</x:v>
      </x:c>
      <x:c r="G101" s="37" t="n">
        <x:f>E101*F101</x:f>
        <x:v>0</x:v>
      </x:c>
      <x:c r="H101" s="37" t="n">
        <x:f>'Premissas'!H39*1.05</x:f>
        <x:v>0.14605500000000002</x:v>
      </x:c>
      <x:c r="I101" s="34" t="n">
        <x:f>(E101+G101)*H101</x:f>
        <x:v>0</x:v>
      </x:c>
      <x:c r="J101" s="36" t="n">
        <x:v>0</x:v>
      </x:c>
      <x:c r="K101" s="34" t="n">
        <x:f>J101</x:f>
        <x:v>0</x:v>
      </x:c>
      <x:c r="L101" s="34" t="n">
        <x:f>E101+G101-K101</x:f>
        <x:v>0</x:v>
      </x:c>
      <x:c r="M101" s="33" t="str">
        <x:v>SRC-03/SRC-07</x:v>
      </x:c>
      <x:c r="N101" s="33" t="str">
        <x:v>Juros pagos; principal conforme cronograma</x:v>
      </x:c>
      <x:c r="O101" s="33" t="str">
        <x:f>IF(ABS(L101)&lt;1,"OK",IF(L101&lt;0,"ERRO","ABERTO"))</x:f>
        <x:v>OK</x:v>
      </x:c>
    </x:row>
    <x:row r="102">
      <x:c r="A102" s="33" t="str">
        <x:v>2026/27</x:v>
      </x:c>
      <x:c r="B102" s="33" t="str">
        <x:v>deb-15-2</x:v>
      </x:c>
      <x:c r="C102" s="33" t="str">
        <x:v>Debêntures 15ª emissão, 2ª série</x:v>
      </x:c>
      <x:c r="D102" s="33" t="str">
        <x:v>Prefixado</x:v>
      </x:c>
      <x:c r="E102" s="34" t="n">
        <x:f>C18</x:f>
        <x:v>408703</x:v>
      </x:c>
      <x:c r="F102" s="37" t="n">
        <x:f>0</x:f>
        <x:v>0</x:v>
      </x:c>
      <x:c r="G102" s="37" t="n">
        <x:f>E102*F102</x:f>
        <x:v>0</x:v>
      </x:c>
      <x:c r="H102" s="37" t="n">
        <x:f>0.14150000000000001</x:f>
        <x:v>0.14150000000000001</x:v>
      </x:c>
      <x:c r="I102" s="34" t="n">
        <x:f>(E102+G102)*H102</x:f>
        <x:v>57831.474500000004</x:v>
      </x:c>
      <x:c r="J102" s="36" t="n">
        <x:v>0</x:v>
      </x:c>
      <x:c r="K102" s="34" t="n">
        <x:f>J102</x:f>
        <x:v>0</x:v>
      </x:c>
      <x:c r="L102" s="34" t="n">
        <x:f>E102+G102-K102</x:f>
        <x:v>408703</x:v>
      </x:c>
      <x:c r="M102" s="33" t="str">
        <x:v>SRC-03/SRC-07</x:v>
      </x:c>
      <x:c r="N102" s="33" t="str">
        <x:v>Juros pagos; principal conforme cronograma</x:v>
      </x:c>
      <x:c r="O102" s="33" t="str">
        <x:f>IF(ABS(L102)&lt;1,"OK",IF(L102&lt;0,"ERRO","ABERTO"))</x:f>
        <x:v>ABERTO</x:v>
      </x:c>
    </x:row>
    <x:row r="103">
      <x:c r="A103" s="33" t="str">
        <x:v>2027/28</x:v>
      </x:c>
      <x:c r="B103" s="33" t="str">
        <x:v>deb-15-2</x:v>
      </x:c>
      <x:c r="C103" s="33" t="str">
        <x:v>Debêntures 15ª emissão, 2ª série</x:v>
      </x:c>
      <x:c r="D103" s="33" t="str">
        <x:v>Prefixado</x:v>
      </x:c>
      <x:c r="E103" s="34" t="n">
        <x:f>L102</x:f>
        <x:v>408703</x:v>
      </x:c>
      <x:c r="F103" s="37" t="n">
        <x:f>0</x:f>
        <x:v>0</x:v>
      </x:c>
      <x:c r="G103" s="37" t="n">
        <x:f>E103*F103</x:f>
        <x:v>0</x:v>
      </x:c>
      <x:c r="H103" s="37" t="n">
        <x:f>0.14150000000000001</x:f>
        <x:v>0.14150000000000001</x:v>
      </x:c>
      <x:c r="I103" s="34" t="n">
        <x:f>(E103+G103)*H103</x:f>
        <x:v>57831.474500000004</x:v>
      </x:c>
      <x:c r="J103" s="36" t="n">
        <x:v>0</x:v>
      </x:c>
      <x:c r="K103" s="34" t="n">
        <x:f>J103</x:f>
        <x:v>0</x:v>
      </x:c>
      <x:c r="L103" s="34" t="n">
        <x:f>E103+G103-K103</x:f>
        <x:v>408703</x:v>
      </x:c>
      <x:c r="M103" s="33" t="str">
        <x:v>SRC-03/SRC-07</x:v>
      </x:c>
      <x:c r="N103" s="33" t="str">
        <x:v>Juros pagos; principal conforme cronograma</x:v>
      </x:c>
      <x:c r="O103" s="33" t="str">
        <x:f>IF(ABS(L103)&lt;1,"OK",IF(L103&lt;0,"ERRO","ABERTO"))</x:f>
        <x:v>ABERTO</x:v>
      </x:c>
    </x:row>
    <x:row r="104">
      <x:c r="A104" s="33" t="str">
        <x:v>2028/29</x:v>
      </x:c>
      <x:c r="B104" s="33" t="str">
        <x:v>deb-15-2</x:v>
      </x:c>
      <x:c r="C104" s="33" t="str">
        <x:v>Debêntures 15ª emissão, 2ª série</x:v>
      </x:c>
      <x:c r="D104" s="33" t="str">
        <x:v>Prefixado</x:v>
      </x:c>
      <x:c r="E104" s="34" t="n">
        <x:f>L103</x:f>
        <x:v>408703</x:v>
      </x:c>
      <x:c r="F104" s="37" t="n">
        <x:f>0</x:f>
        <x:v>0</x:v>
      </x:c>
      <x:c r="G104" s="37" t="n">
        <x:f>E104*F104</x:f>
        <x:v>0</x:v>
      </x:c>
      <x:c r="H104" s="37" t="n">
        <x:f>0.14150000000000001</x:f>
        <x:v>0.14150000000000001</x:v>
      </x:c>
      <x:c r="I104" s="34" t="n">
        <x:f>(E104+G104)*H104</x:f>
        <x:v>57831.474500000004</x:v>
      </x:c>
      <x:c r="J104" s="36" t="n">
        <x:v>0</x:v>
      </x:c>
      <x:c r="K104" s="34" t="n">
        <x:f>J104</x:f>
        <x:v>0</x:v>
      </x:c>
      <x:c r="L104" s="34" t="n">
        <x:f>E104+G104-K104</x:f>
        <x:v>408703</x:v>
      </x:c>
      <x:c r="M104" s="33" t="str">
        <x:v>SRC-03/SRC-07</x:v>
      </x:c>
      <x:c r="N104" s="33" t="str">
        <x:v>Juros pagos; principal conforme cronograma</x:v>
      </x:c>
      <x:c r="O104" s="33" t="str">
        <x:f>IF(ABS(L104)&lt;1,"OK",IF(L104&lt;0,"ERRO","ABERTO"))</x:f>
        <x:v>ABERTO</x:v>
      </x:c>
    </x:row>
    <x:row r="105">
      <x:c r="A105" s="33" t="str">
        <x:v>2029/30</x:v>
      </x:c>
      <x:c r="B105" s="33" t="str">
        <x:v>deb-15-2</x:v>
      </x:c>
      <x:c r="C105" s="33" t="str">
        <x:v>Debêntures 15ª emissão, 2ª série</x:v>
      </x:c>
      <x:c r="D105" s="33" t="str">
        <x:v>Prefixado</x:v>
      </x:c>
      <x:c r="E105" s="34" t="n">
        <x:f>L104</x:f>
        <x:v>408703</x:v>
      </x:c>
      <x:c r="F105" s="37" t="n">
        <x:f>0</x:f>
        <x:v>0</x:v>
      </x:c>
      <x:c r="G105" s="37" t="n">
        <x:f>E105*F105</x:f>
        <x:v>0</x:v>
      </x:c>
      <x:c r="H105" s="37" t="n">
        <x:f>0.14150000000000001</x:f>
        <x:v>0.14150000000000001</x:v>
      </x:c>
      <x:c r="I105" s="34" t="n">
        <x:f>(E105+G105)*H105</x:f>
        <x:v>57831.474500000004</x:v>
      </x:c>
      <x:c r="J105" s="36" t="n">
        <x:v>0</x:v>
      </x:c>
      <x:c r="K105" s="34" t="n">
        <x:f>J105</x:f>
        <x:v>0</x:v>
      </x:c>
      <x:c r="L105" s="34" t="n">
        <x:f>E105+G105-K105</x:f>
        <x:v>408703</x:v>
      </x:c>
      <x:c r="M105" s="33" t="str">
        <x:v>SRC-03/SRC-07</x:v>
      </x:c>
      <x:c r="N105" s="33" t="str">
        <x:v>Juros pagos; principal conforme cronograma</x:v>
      </x:c>
      <x:c r="O105" s="33" t="str">
        <x:f>IF(ABS(L105)&lt;1,"OK",IF(L105&lt;0,"ERRO","ABERTO"))</x:f>
        <x:v>ABERTO</x:v>
      </x:c>
    </x:row>
    <x:row r="106">
      <x:c r="A106" s="33" t="str">
        <x:v>2030/31</x:v>
      </x:c>
      <x:c r="B106" s="33" t="str">
        <x:v>deb-15-2</x:v>
      </x:c>
      <x:c r="C106" s="33" t="str">
        <x:v>Debêntures 15ª emissão, 2ª série</x:v>
      </x:c>
      <x:c r="D106" s="33" t="str">
        <x:v>Prefixado</x:v>
      </x:c>
      <x:c r="E106" s="34" t="n">
        <x:f>L105</x:f>
        <x:v>408703</x:v>
      </x:c>
      <x:c r="F106" s="37" t="n">
        <x:f>0</x:f>
        <x:v>0</x:v>
      </x:c>
      <x:c r="G106" s="37" t="n">
        <x:f>E106*F106</x:f>
        <x:v>0</x:v>
      </x:c>
      <x:c r="H106" s="37" t="n">
        <x:f>0.14150000000000001</x:f>
        <x:v>0.14150000000000001</x:v>
      </x:c>
      <x:c r="I106" s="34" t="n">
        <x:f>(E106+G106)*H106</x:f>
        <x:v>57831.474500000004</x:v>
      </x:c>
      <x:c r="J106" s="36" t="n">
        <x:v>61103</x:v>
      </x:c>
      <x:c r="K106" s="34" t="n">
        <x:f>J106</x:f>
        <x:v>61103</x:v>
      </x:c>
      <x:c r="L106" s="34" t="n">
        <x:f>E106+G106-K106</x:f>
        <x:v>347600</x:v>
      </x:c>
      <x:c r="M106" s="33" t="str">
        <x:v>SRC-03/SRC-07</x:v>
      </x:c>
      <x:c r="N106" s="33" t="str">
        <x:v>Juros pagos; principal conforme cronograma</x:v>
      </x:c>
      <x:c r="O106" s="33" t="str">
        <x:f>IF(ABS(L106)&lt;1,"OK",IF(L106&lt;0,"ERRO","ABERTO"))</x:f>
        <x:v>ABERTO</x:v>
      </x:c>
    </x:row>
    <x:row r="107">
      <x:c r="A107" s="33" t="str">
        <x:v>Após 2031</x:v>
      </x:c>
      <x:c r="B107" s="33" t="str">
        <x:v>deb-15-2</x:v>
      </x:c>
      <x:c r="C107" s="33" t="str">
        <x:v>Debêntures 15ª emissão, 2ª série</x:v>
      </x:c>
      <x:c r="D107" s="33" t="str">
        <x:v>Prefixado</x:v>
      </x:c>
      <x:c r="E107" s="34" t="n">
        <x:f>L106</x:f>
        <x:v>347600</x:v>
      </x:c>
      <x:c r="F107" s="37" t="n">
        <x:f>0</x:f>
        <x:v>0</x:v>
      </x:c>
      <x:c r="G107" s="37" t="n">
        <x:f>E107*F107</x:f>
        <x:v>0</x:v>
      </x:c>
      <x:c r="H107" s="37" t="n">
        <x:f>0.14150000000000001</x:f>
        <x:v>0.14150000000000001</x:v>
      </x:c>
      <x:c r="I107" s="34" t="n">
        <x:f>(E107+G107)*H107</x:f>
        <x:v>49185.40000000001</x:v>
      </x:c>
      <x:c r="J107" s="36" t="n">
        <x:v>347600</x:v>
      </x:c>
      <x:c r="K107" s="34" t="n">
        <x:f>J107</x:f>
        <x:v>347600</x:v>
      </x:c>
      <x:c r="L107" s="34" t="n">
        <x:f>E107+G107-K107</x:f>
        <x:v>0</x:v>
      </x:c>
      <x:c r="M107" s="33" t="str">
        <x:v>SRC-03/SRC-07</x:v>
      </x:c>
      <x:c r="N107" s="33" t="str">
        <x:v>Juros pagos; principal conforme cronograma</x:v>
      </x:c>
      <x:c r="O107" s="33" t="str">
        <x:f>IF(ABS(L107)&lt;1,"OK",IF(L107&lt;0,"ERRO","ABERTO"))</x:f>
        <x:v>OK</x:v>
      </x:c>
    </x:row>
    <x:row r="108">
      <x:c r="A108" s="33" t="str">
        <x:v>2026/27</x:v>
      </x:c>
      <x:c r="B108" s="33" t="str">
        <x:v>deb-15-3</x:v>
      </x:c>
      <x:c r="C108" s="33" t="str">
        <x:v>Debêntures 15ª emissão, 3ª série</x:v>
      </x:c>
      <x:c r="D108" s="33" t="str">
        <x:v>IPCA</x:v>
      </x:c>
      <x:c r="E108" s="34" t="n">
        <x:f>C19</x:f>
        <x:v>50401</x:v>
      </x:c>
      <x:c r="F108" s="37" t="n">
        <x:f>'Premissas'!C43</x:f>
        <x:v>0.06052</x:v>
      </x:c>
      <x:c r="G108" s="37" t="n">
        <x:f>E108*F108</x:f>
        <x:v>3050.26852</x:v>
      </x:c>
      <x:c r="H108" s="37" t="n">
        <x:f>0.08199999999999999</x:f>
        <x:v>0.08199999999999999</x:v>
      </x:c>
      <x:c r="I108" s="34" t="n">
        <x:f>(E108+G108)*H108</x:f>
        <x:v>4383.004018639999</x:v>
      </x:c>
      <x:c r="J108" s="36" t="n">
        <x:v>0</x:v>
      </x:c>
      <x:c r="K108" s="34" t="n">
        <x:f>IF(J108&gt;0,E108+G108,0)</x:f>
        <x:v>0</x:v>
      </x:c>
      <x:c r="L108" s="34" t="n">
        <x:f>E108+G108-K108</x:f>
        <x:v>53451.26852</x:v>
      </x:c>
      <x:c r="M108" s="33" t="str">
        <x:v>SRC-03/SRC-07</x:v>
      </x:c>
      <x:c r="N108" s="33" t="str">
        <x:v>IPCA capitaliza; spread pago</x:v>
      </x:c>
      <x:c r="O108" s="33" t="str">
        <x:f>IF(ABS(L108)&lt;1,"OK",IF(L108&lt;0,"ERRO","ABERTO"))</x:f>
        <x:v>ABERTO</x:v>
      </x:c>
    </x:row>
    <x:row r="109">
      <x:c r="A109" s="33" t="str">
        <x:v>2027/28</x:v>
      </x:c>
      <x:c r="B109" s="33" t="str">
        <x:v>deb-15-3</x:v>
      </x:c>
      <x:c r="C109" s="33" t="str">
        <x:v>Debêntures 15ª emissão, 3ª série</x:v>
      </x:c>
      <x:c r="D109" s="33" t="str">
        <x:v>IPCA</x:v>
      </x:c>
      <x:c r="E109" s="34" t="n">
        <x:f>L108</x:f>
        <x:v>53451.26852</x:v>
      </x:c>
      <x:c r="F109" s="37" t="n">
        <x:f>'Premissas'!D43</x:f>
        <x:v>0.057576</x:v>
      </x:c>
      <x:c r="G109" s="37" t="n">
        <x:f>E109*F109</x:f>
        <x:v>3077.51023630752</x:v>
      </x:c>
      <x:c r="H109" s="37" t="n">
        <x:f>0.08199999999999999</x:f>
        <x:v>0.08199999999999999</x:v>
      </x:c>
      <x:c r="I109" s="34" t="n">
        <x:f>(E109+G109)*H109</x:f>
        <x:v>4635.359858017216</x:v>
      </x:c>
      <x:c r="J109" s="36" t="n">
        <x:v>0</x:v>
      </x:c>
      <x:c r="K109" s="34" t="n">
        <x:f>IF(J109&gt;0,E109+G109,0)</x:f>
        <x:v>0</x:v>
      </x:c>
      <x:c r="L109" s="34" t="n">
        <x:f>E109+G109-K109</x:f>
        <x:v>56528.77875630752</x:v>
      </x:c>
      <x:c r="M109" s="33" t="str">
        <x:v>SRC-03/SRC-07</x:v>
      </x:c>
      <x:c r="N109" s="33" t="str">
        <x:v>IPCA capitaliza; spread pago</x:v>
      </x:c>
      <x:c r="O109" s="33" t="str">
        <x:f>IF(ABS(L109)&lt;1,"OK",IF(L109&lt;0,"ERRO","ABERTO"))</x:f>
        <x:v>ABERTO</x:v>
      </x:c>
    </x:row>
    <x:row r="110">
      <x:c r="A110" s="33" t="str">
        <x:v>2028/29</x:v>
      </x:c>
      <x:c r="B110" s="33" t="str">
        <x:v>deb-15-3</x:v>
      </x:c>
      <x:c r="C110" s="33" t="str">
        <x:v>Debêntures 15ª emissão, 3ª série</x:v>
      </x:c>
      <x:c r="D110" s="33" t="str">
        <x:v>IPCA</x:v>
      </x:c>
      <x:c r="E110" s="34" t="n">
        <x:f>L109</x:f>
        <x:v>56528.77875630752</x:v>
      </x:c>
      <x:c r="F110" s="37" t="n">
        <x:f>'Premissas'!E43</x:f>
        <x:v>0.056539</x:v>
      </x:c>
      <x:c r="G110" s="37" t="n">
        <x:f>E110*F110</x:f>
        <x:v>3196.0806221028706</x:v>
      </x:c>
      <x:c r="H110" s="37" t="n">
        <x:f>0.08199999999999999</x:f>
        <x:v>0.08199999999999999</x:v>
      </x:c>
      <x:c r="I110" s="34" t="n">
        <x:f>(E110+G110)*H110</x:f>
        <x:v>4897.438469029651</x:v>
      </x:c>
      <x:c r="J110" s="36" t="n">
        <x:v>0</x:v>
      </x:c>
      <x:c r="K110" s="34" t="n">
        <x:f>IF(J110&gt;0,E110+G110,0)</x:f>
        <x:v>0</x:v>
      </x:c>
      <x:c r="L110" s="34" t="n">
        <x:f>E110+G110-K110</x:f>
        <x:v>59724.85937841039</x:v>
      </x:c>
      <x:c r="M110" s="33" t="str">
        <x:v>SRC-03/SRC-07</x:v>
      </x:c>
      <x:c r="N110" s="33" t="str">
        <x:v>IPCA capitaliza; spread pago</x:v>
      </x:c>
      <x:c r="O110" s="33" t="str">
        <x:f>IF(ABS(L110)&lt;1,"OK",IF(L110&lt;0,"ERRO","ABERTO"))</x:f>
        <x:v>ABERTO</x:v>
      </x:c>
    </x:row>
    <x:row r="111">
      <x:c r="A111" s="33" t="str">
        <x:v>2029/30</x:v>
      </x:c>
      <x:c r="B111" s="33" t="str">
        <x:v>deb-15-3</x:v>
      </x:c>
      <x:c r="C111" s="33" t="str">
        <x:v>Debêntures 15ª emissão, 3ª série</x:v>
      </x:c>
      <x:c r="D111" s="33" t="str">
        <x:v>IPCA</x:v>
      </x:c>
      <x:c r="E111" s="34" t="n">
        <x:f>L110</x:f>
        <x:v>59724.85937841039</x:v>
      </x:c>
      <x:c r="F111" s="37" t="n">
        <x:f>'Premissas'!F43</x:f>
        <x:v>0.056419</x:v>
      </x:c>
      <x:c r="G111" s="37" t="n">
        <x:f>E111*F111</x:f>
        <x:v>3369.6168412705356</x:v>
      </x:c>
      <x:c r="H111" s="37" t="n">
        <x:f>0.08199999999999999</x:f>
        <x:v>0.08199999999999999</x:v>
      </x:c>
      <x:c r="I111" s="34" t="n">
        <x:f>(E111+G111)*H111</x:f>
        <x:v>5173.747050013835</x:v>
      </x:c>
      <x:c r="J111" s="36" t="n">
        <x:v>0</x:v>
      </x:c>
      <x:c r="K111" s="34" t="n">
        <x:f>IF(J111&gt;0,E111+G111,0)</x:f>
        <x:v>0</x:v>
      </x:c>
      <x:c r="L111" s="34" t="n">
        <x:f>E111+G111-K111</x:f>
        <x:v>63094.476219680924</x:v>
      </x:c>
      <x:c r="M111" s="33" t="str">
        <x:v>SRC-03/SRC-07</x:v>
      </x:c>
      <x:c r="N111" s="33" t="str">
        <x:v>IPCA capitaliza; spread pago</x:v>
      </x:c>
      <x:c r="O111" s="33" t="str">
        <x:f>IF(ABS(L111)&lt;1,"OK",IF(L111&lt;0,"ERRO","ABERTO"))</x:f>
        <x:v>ABERTO</x:v>
      </x:c>
    </x:row>
    <x:row r="112">
      <x:c r="A112" s="33" t="str">
        <x:v>2030/31</x:v>
      </x:c>
      <x:c r="B112" s="33" t="str">
        <x:v>deb-15-3</x:v>
      </x:c>
      <x:c r="C112" s="33" t="str">
        <x:v>Debêntures 15ª emissão, 3ª série</x:v>
      </x:c>
      <x:c r="D112" s="33" t="str">
        <x:v>IPCA</x:v>
      </x:c>
      <x:c r="E112" s="34" t="n">
        <x:f>L111</x:f>
        <x:v>63094.476219680924</x:v>
      </x:c>
      <x:c r="F112" s="37" t="n">
        <x:f>'Premissas'!G43</x:f>
        <x:v>0.056755</x:v>
      </x:c>
      <x:c r="G112" s="37" t="n">
        <x:f>E112*F112</x:f>
        <x:v>3580.926997847991</x:v>
      </x:c>
      <x:c r="H112" s="37" t="n">
        <x:f>0.08199999999999999</x:f>
        <x:v>0.08199999999999999</x:v>
      </x:c>
      <x:c r="I112" s="34" t="n">
        <x:f>(E112+G112)*H112</x:f>
        <x:v>5467.38306383737</x:v>
      </x:c>
      <x:c r="J112" s="36" t="n">
        <x:v>0</x:v>
      </x:c>
      <x:c r="K112" s="34" t="n">
        <x:f>IF(J112&gt;0,E112+G112,0)</x:f>
        <x:v>0</x:v>
      </x:c>
      <x:c r="L112" s="34" t="n">
        <x:f>E112+G112-K112</x:f>
        <x:v>66675.40321752892</x:v>
      </x:c>
      <x:c r="M112" s="33" t="str">
        <x:v>SRC-03/SRC-07</x:v>
      </x:c>
      <x:c r="N112" s="33" t="str">
        <x:v>IPCA capitaliza; spread pago</x:v>
      </x:c>
      <x:c r="O112" s="33" t="str">
        <x:f>IF(ABS(L112)&lt;1,"OK",IF(L112&lt;0,"ERRO","ABERTO"))</x:f>
        <x:v>ABERTO</x:v>
      </x:c>
    </x:row>
    <x:row r="113">
      <x:c r="A113" s="33" t="str">
        <x:v>Após 2031</x:v>
      </x:c>
      <x:c r="B113" s="33" t="str">
        <x:v>deb-15-3</x:v>
      </x:c>
      <x:c r="C113" s="33" t="str">
        <x:v>Debêntures 15ª emissão, 3ª série</x:v>
      </x:c>
      <x:c r="D113" s="33" t="str">
        <x:v>IPCA</x:v>
      </x:c>
      <x:c r="E113" s="34" t="n">
        <x:f>L112</x:f>
        <x:v>66675.40321752892</x:v>
      </x:c>
      <x:c r="F113" s="37" t="n">
        <x:f>'Premissas'!H43</x:f>
        <x:v>0.057323</x:v>
      </x:c>
      <x:c r="G113" s="37" t="n">
        <x:f>E113*F113</x:f>
        <x:v>3822.0341386384102</x:v>
      </x:c>
      <x:c r="H113" s="37" t="n">
        <x:f>0.08199999999999999</x:f>
        <x:v>0.08199999999999999</x:v>
      </x:c>
      <x:c r="I113" s="34" t="n">
        <x:f>(E113+G113)*H113</x:f>
        <x:v>5780.78986320572</x:v>
      </x:c>
      <x:c r="J113" s="36" t="n">
        <x:v>50401</x:v>
      </x:c>
      <x:c r="K113" s="34" t="n">
        <x:f>IF(J113&gt;0,E113+G113,0)</x:f>
        <x:v>70497.43735616733</x:v>
      </x:c>
      <x:c r="L113" s="34" t="n">
        <x:f>E113+G113-K113</x:f>
        <x:v>0</x:v>
      </x:c>
      <x:c r="M113" s="33" t="str">
        <x:v>SRC-03/SRC-07</x:v>
      </x:c>
      <x:c r="N113" s="33" t="str">
        <x:v>IPCA capitaliza; spread pago</x:v>
      </x:c>
      <x:c r="O113" s="33" t="str">
        <x:f>IF(ABS(L113)&lt;1,"OK",IF(L113&lt;0,"ERRO","ABERTO"))</x:f>
        <x:v>OK</x:v>
      </x:c>
    </x:row>
    <x:row r="114">
      <x:c r="A114" s="33" t="str">
        <x:v>2026/27</x:v>
      </x:c>
      <x:c r="B114" s="33" t="str">
        <x:v>deb-15-4</x:v>
      </x:c>
      <x:c r="C114" s="33" t="str">
        <x:v>Debêntures 15ª emissão, 4ª série</x:v>
      </x:c>
      <x:c r="D114" s="33" t="str">
        <x:v>IPCA</x:v>
      </x:c>
      <x:c r="E114" s="34" t="n">
        <x:f>C20</x:f>
        <x:v>30793</x:v>
      </x:c>
      <x:c r="F114" s="37" t="n">
        <x:f>'Premissas'!C43</x:f>
        <x:v>0.06052</x:v>
      </x:c>
      <x:c r="G114" s="37" t="n">
        <x:f>E114*F114</x:f>
        <x:v>1863.5923599999999</x:v>
      </x:c>
      <x:c r="H114" s="37" t="n">
        <x:f>0.087</x:f>
        <x:v>0.087</x:v>
      </x:c>
      <x:c r="I114" s="34" t="n">
        <x:f>(E114+G114)*H114</x:f>
        <x:v>2841.1235353199995</x:v>
      </x:c>
      <x:c r="J114" s="36" t="n">
        <x:v>0</x:v>
      </x:c>
      <x:c r="K114" s="34" t="n">
        <x:f>IF(J114&gt;0,E114+G114,0)</x:f>
        <x:v>0</x:v>
      </x:c>
      <x:c r="L114" s="34" t="n">
        <x:f>E114+G114-K114</x:f>
        <x:v>32656.59236</x:v>
      </x:c>
      <x:c r="M114" s="33" t="str">
        <x:v>SRC-03/SRC-07</x:v>
      </x:c>
      <x:c r="N114" s="33" t="str">
        <x:v>IPCA capitaliza; spread pago</x:v>
      </x:c>
      <x:c r="O114" s="33" t="str">
        <x:f>IF(ABS(L114)&lt;1,"OK",IF(L114&lt;0,"ERRO","ABERTO"))</x:f>
        <x:v>ABERTO</x:v>
      </x:c>
    </x:row>
    <x:row r="115">
      <x:c r="A115" s="33" t="str">
        <x:v>2027/28</x:v>
      </x:c>
      <x:c r="B115" s="33" t="str">
        <x:v>deb-15-4</x:v>
      </x:c>
      <x:c r="C115" s="33" t="str">
        <x:v>Debêntures 15ª emissão, 4ª série</x:v>
      </x:c>
      <x:c r="D115" s="33" t="str">
        <x:v>IPCA</x:v>
      </x:c>
      <x:c r="E115" s="34" t="n">
        <x:f>L114</x:f>
        <x:v>32656.59236</x:v>
      </x:c>
      <x:c r="F115" s="37" t="n">
        <x:f>'Premissas'!D43</x:f>
        <x:v>0.057576</x:v>
      </x:c>
      <x:c r="G115" s="37" t="n">
        <x:f>E115*F115</x:f>
        <x:v>1880.23596171936</x:v>
      </x:c>
      <x:c r="H115" s="37" t="n">
        <x:f>0.087</x:f>
        <x:v>0.087</x:v>
      </x:c>
      <x:c r="I115" s="34" t="n">
        <x:f>(E115+G115)*H115</x:f>
        <x:v>3004.704063989584</x:v>
      </x:c>
      <x:c r="J115" s="36" t="n">
        <x:v>0</x:v>
      </x:c>
      <x:c r="K115" s="34" t="n">
        <x:f>IF(J115&gt;0,E115+G115,0)</x:f>
        <x:v>0</x:v>
      </x:c>
      <x:c r="L115" s="34" t="n">
        <x:f>E115+G115-K115</x:f>
        <x:v>34536.82832171936</x:v>
      </x:c>
      <x:c r="M115" s="33" t="str">
        <x:v>SRC-03/SRC-07</x:v>
      </x:c>
      <x:c r="N115" s="33" t="str">
        <x:v>IPCA capitaliza; spread pago</x:v>
      </x:c>
      <x:c r="O115" s="33" t="str">
        <x:f>IF(ABS(L115)&lt;1,"OK",IF(L115&lt;0,"ERRO","ABERTO"))</x:f>
        <x:v>ABERTO</x:v>
      </x:c>
    </x:row>
    <x:row r="116">
      <x:c r="A116" s="33" t="str">
        <x:v>2028/29</x:v>
      </x:c>
      <x:c r="B116" s="33" t="str">
        <x:v>deb-15-4</x:v>
      </x:c>
      <x:c r="C116" s="33" t="str">
        <x:v>Debêntures 15ª emissão, 4ª série</x:v>
      </x:c>
      <x:c r="D116" s="33" t="str">
        <x:v>IPCA</x:v>
      </x:c>
      <x:c r="E116" s="34" t="n">
        <x:f>L115</x:f>
        <x:v>34536.82832171936</x:v>
      </x:c>
      <x:c r="F116" s="37" t="n">
        <x:f>'Premissas'!E43</x:f>
        <x:v>0.056539</x:v>
      </x:c>
      <x:c r="G116" s="37" t="n">
        <x:f>E116*F116</x:f>
        <x:v>1952.6777364816908</x:v>
      </x:c>
      <x:c r="H116" s="37" t="n">
        <x:f>0.087</x:f>
        <x:v>0.087</x:v>
      </x:c>
      <x:c r="I116" s="34" t="n">
        <x:f>(E116+G116)*H116</x:f>
        <x:v>3174.587027063491</x:v>
      </x:c>
      <x:c r="J116" s="36" t="n">
        <x:v>0</x:v>
      </x:c>
      <x:c r="K116" s="34" t="n">
        <x:f>IF(J116&gt;0,E116+G116,0)</x:f>
        <x:v>0</x:v>
      </x:c>
      <x:c r="L116" s="34" t="n">
        <x:f>E116+G116-K116</x:f>
        <x:v>36489.50605820105</x:v>
      </x:c>
      <x:c r="M116" s="33" t="str">
        <x:v>SRC-03/SRC-07</x:v>
      </x:c>
      <x:c r="N116" s="33" t="str">
        <x:v>IPCA capitaliza; spread pago</x:v>
      </x:c>
      <x:c r="O116" s="33" t="str">
        <x:f>IF(ABS(L116)&lt;1,"OK",IF(L116&lt;0,"ERRO","ABERTO"))</x:f>
        <x:v>ABERTO</x:v>
      </x:c>
    </x:row>
    <x:row r="117">
      <x:c r="A117" s="33" t="str">
        <x:v>2029/30</x:v>
      </x:c>
      <x:c r="B117" s="33" t="str">
        <x:v>deb-15-4</x:v>
      </x:c>
      <x:c r="C117" s="33" t="str">
        <x:v>Debêntures 15ª emissão, 4ª série</x:v>
      </x:c>
      <x:c r="D117" s="33" t="str">
        <x:v>IPCA</x:v>
      </x:c>
      <x:c r="E117" s="34" t="n">
        <x:f>L116</x:f>
        <x:v>36489.50605820105</x:v>
      </x:c>
      <x:c r="F117" s="37" t="n">
        <x:f>'Premissas'!F43</x:f>
        <x:v>0.056419</x:v>
      </x:c>
      <x:c r="G117" s="37" t="n">
        <x:f>E117*F117</x:f>
        <x:v>2058.701442297645</x:v>
      </x:c>
      <x:c r="H117" s="37" t="n">
        <x:f>0.087</x:f>
        <x:v>0.087</x:v>
      </x:c>
      <x:c r="I117" s="34" t="n">
        <x:f>(E117+G117)*H117</x:f>
        <x:v>3353.694052543386</x:v>
      </x:c>
      <x:c r="J117" s="36" t="n">
        <x:v>0</x:v>
      </x:c>
      <x:c r="K117" s="34" t="n">
        <x:f>IF(J117&gt;0,E117+G117,0)</x:f>
        <x:v>0</x:v>
      </x:c>
      <x:c r="L117" s="34" t="n">
        <x:f>E117+G117-K117</x:f>
        <x:v>38548.20750049869</x:v>
      </x:c>
      <x:c r="M117" s="33" t="str">
        <x:v>SRC-03/SRC-07</x:v>
      </x:c>
      <x:c r="N117" s="33" t="str">
        <x:v>IPCA capitaliza; spread pago</x:v>
      </x:c>
      <x:c r="O117" s="33" t="str">
        <x:f>IF(ABS(L117)&lt;1,"OK",IF(L117&lt;0,"ERRO","ABERTO"))</x:f>
        <x:v>ABERTO</x:v>
      </x:c>
    </x:row>
    <x:row r="118">
      <x:c r="A118" s="33" t="str">
        <x:v>2030/31</x:v>
      </x:c>
      <x:c r="B118" s="33" t="str">
        <x:v>deb-15-4</x:v>
      </x:c>
      <x:c r="C118" s="33" t="str">
        <x:v>Debêntures 15ª emissão, 4ª série</x:v>
      </x:c>
      <x:c r="D118" s="33" t="str">
        <x:v>IPCA</x:v>
      </x:c>
      <x:c r="E118" s="34" t="n">
        <x:f>L117</x:f>
        <x:v>38548.20750049869</x:v>
      </x:c>
      <x:c r="F118" s="37" t="n">
        <x:f>'Premissas'!G43</x:f>
        <x:v>0.056755</x:v>
      </x:c>
      <x:c r="G118" s="37" t="n">
        <x:f>E118*F118</x:f>
        <x:v>2187.803516690803</x:v>
      </x:c>
      <x:c r="H118" s="37" t="n">
        <x:f>0.087</x:f>
        <x:v>0.087</x:v>
      </x:c>
      <x:c r="I118" s="34" t="n">
        <x:f>(E118+G118)*H118</x:f>
        <x:v>3544.0329584954857</x:v>
      </x:c>
      <x:c r="J118" s="36" t="n">
        <x:v>0</x:v>
      </x:c>
      <x:c r="K118" s="34" t="n">
        <x:f>IF(J118&gt;0,E118+G118,0)</x:f>
        <x:v>0</x:v>
      </x:c>
      <x:c r="L118" s="34" t="n">
        <x:f>E118+G118-K118</x:f>
        <x:v>40736.01101718949</x:v>
      </x:c>
      <x:c r="M118" s="33" t="str">
        <x:v>SRC-03/SRC-07</x:v>
      </x:c>
      <x:c r="N118" s="33" t="str">
        <x:v>IPCA capitaliza; spread pago</x:v>
      </x:c>
      <x:c r="O118" s="33" t="str">
        <x:f>IF(ABS(L118)&lt;1,"OK",IF(L118&lt;0,"ERRO","ABERTO"))</x:f>
        <x:v>ABERTO</x:v>
      </x:c>
    </x:row>
    <x:row r="119">
      <x:c r="A119" s="33" t="str">
        <x:v>Após 2031</x:v>
      </x:c>
      <x:c r="B119" s="33" t="str">
        <x:v>deb-15-4</x:v>
      </x:c>
      <x:c r="C119" s="33" t="str">
        <x:v>Debêntures 15ª emissão, 4ª série</x:v>
      </x:c>
      <x:c r="D119" s="33" t="str">
        <x:v>IPCA</x:v>
      </x:c>
      <x:c r="E119" s="34" t="n">
        <x:f>L118</x:f>
        <x:v>40736.01101718949</x:v>
      </x:c>
      <x:c r="F119" s="37" t="n">
        <x:f>'Premissas'!H43</x:f>
        <x:v>0.057323</x:v>
      </x:c>
      <x:c r="G119" s="37" t="n">
        <x:f>E119*F119</x:f>
        <x:v>2335.1103595383534</x:v>
      </x:c>
      <x:c r="H119" s="37" t="n">
        <x:f>0.087</x:f>
        <x:v>0.087</x:v>
      </x:c>
      <x:c r="I119" s="34" t="n">
        <x:f>(E119+G119)*H119</x:f>
        <x:v>3747.1875597753224</x:v>
      </x:c>
      <x:c r="J119" s="36" t="n">
        <x:v>30793</x:v>
      </x:c>
      <x:c r="K119" s="34" t="n">
        <x:f>IF(J119&gt;0,E119+G119,0)</x:f>
        <x:v>43071.121376727846</x:v>
      </x:c>
      <x:c r="L119" s="34" t="n">
        <x:f>E119+G119-K119</x:f>
        <x:v>0</x:v>
      </x:c>
      <x:c r="M119" s="33" t="str">
        <x:v>SRC-03/SRC-07</x:v>
      </x:c>
      <x:c r="N119" s="33" t="str">
        <x:v>IPCA capitaliza; spread pago</x:v>
      </x:c>
      <x:c r="O119" s="33" t="str">
        <x:f>IF(ABS(L119)&lt;1,"OK",IF(L119&lt;0,"ERRO","ABERTO"))</x:f>
        <x:v>OK</x:v>
      </x:c>
    </x:row>
  </x:sheetData>
  <x:mergeCells>
    <x:mergeCell ref="A1:O1"/>
    <x:mergeCell ref="A2:O2"/>
    <x:mergeCell ref="A22:O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D9455"/>
  </x:sheetPr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28" hidden="0" customWidth="1"/>
    <x:col min="4" max="4" width="48" hidden="0" customWidth="1"/>
    <x:col min="5" max="5" width="48" hidden="0" customWidth="1"/>
  </x:cols>
  <x:sheetData>
    <x:row r="1" ht="38" customHeight="1">
      <x:c r="A1" s="5" t="str">
        <x:v>Alternativas para decisão</x:v>
      </x:c>
      <x:c r="B1" s="5"/>
      <x:c r="C1" s="5"/>
      <x:c r="D1" s="5"/>
      <x:c r="E1" s="5"/>
    </x:row>
    <x:row r="2" ht="26" customHeight="1">
      <x:c r="A2" s="8" t="str">
        <x:v>Portfólio preliminar. Nenhuma alternativa está recomendada ou ranqueada antes dos dados bloqueantes.</x:v>
      </x:c>
      <x:c r="B2" s="8"/>
      <x:c r="C2" s="8"/>
      <x:c r="D2" s="8"/>
      <x:c r="E2" s="8"/>
    </x:row>
    <x:row r="4">
      <x:c r="A4" s="15" t="str">
        <x:v>Alternativa</x:v>
      </x:c>
      <x:c r="B4" s="15" t="str">
        <x:v>Estado</x:v>
      </x:c>
      <x:c r="C4" s="15" t="str">
        <x:v>Tese</x:v>
      </x:c>
      <x:c r="D4" s="15" t="str">
        <x:v>Pergunta para o Conselho</x:v>
      </x:c>
      <x:c r="E4" s="15" t="str">
        <x:v>Condição antes de avançar</x:v>
      </x:c>
    </x:row>
    <x:row r="5">
      <x:c r="A5" s="33" t="str">
        <x:v>Manter estrutura e rolar linhas</x:v>
      </x:c>
      <x:c r="B5" s="33" t="str">
        <x:v>Referência</x:v>
      </x:c>
      <x:c r="C5" s="33" t="str">
        <x:v>Mantém acesso, mas concentra dependência de execução e custo futuro</x:v>
      </x:c>
      <x:c r="D5" s="33" t="str">
        <x:v>A companhia aceita depender de refinanciamento integral nos anos de menor folga?</x:v>
      </x:c>
      <x:c r="E5" s="33" t="str">
        <x:v>capacidade, preço e prazo de rolagem ainda não contratados</x:v>
      </x:c>
    </x:row>
    <x:row r="6">
      <x:c r="A6" s="33" t="str">
        <x:v>Alongar o pico de 2028/29</x:v>
      </x:c>
      <x:c r="B6" s="33" t="str">
        <x:v>Bloqueada</x:v>
      </x:c>
      <x:c r="C6" s="33" t="str">
        <x:v>Pode redistribuir vencimentos ou reduzir dívida, sujeito à economia completa</x:v>
      </x:c>
      <x:c r="D6" s="33" t="str">
        <x:v>A redução do pico compensa custo e flexibilidade da nova dívida?</x:v>
      </x:c>
      <x:c r="E6" s="33" t="str">
        <x:v>base de liquidação e custo de saída da 13ª 1ª série</x:v>
      </x:c>
    </x:row>
    <x:row r="7">
      <x:c r="A7" s="33" t="str">
        <x:v>Alongar os picos de 2028/29 e 2029/30</x:v>
      </x:c>
      <x:c r="B7" s="33" t="str">
        <x:v>Bloqueada</x:v>
      </x:c>
      <x:c r="C7" s="33" t="str">
        <x:v>Pode redistribuir vencimentos ou reduzir dívida, sujeito à economia completa</x:v>
      </x:c>
      <x:c r="D7" s="33" t="str">
        <x:v>Uma transação maior reduz risco de execução sem concentrar preço e covenants?</x:v>
      </x:c>
      <x:c r="E7" s="33" t="str">
        <x:v>bases de liquidação e custos de saída da 13ª 1ª e 14ª 1ª séries</x:v>
      </x:c>
    </x:row>
    <x:row r="8">
      <x:c r="A8" s="33" t="str">
        <x:v>Amortizar linhas com caixa</x:v>
      </x:c>
      <x:c r="B8" s="33" t="str">
        <x:v>Bloqueada</x:v>
      </x:c>
      <x:c r="C8" s="33" t="str">
        <x:v>Pode redistribuir vencimentos ou reduzir dívida, sujeito à economia completa</x:v>
      </x:c>
      <x:c r="D8" s="33" t="str">
        <x:v>Qual caixa excede o piso operacional e qual é o custo de pré-pagamento?</x:v>
      </x:c>
      <x:c r="E8" s="33" t="str">
        <x:v>termos de pré-pagamento e liquidez diária das aplicações</x:v>
      </x:c>
    </x:row>
    <x:row r="9">
      <x:c r="A9" s="33" t="str">
        <x:v>Oferta de resgate da 11ª emissão</x:v>
      </x:c>
      <x:c r="B9" s="33" t="str">
        <x:v>Bloqueada</x:v>
      </x:c>
      <x:c r="C9" s="33" t="str">
        <x:v>Pode redistribuir vencimentos ou reduzir dívida, sujeito à economia completa</x:v>
      </x:c>
      <x:c r="D9" s="33" t="str">
        <x:v>Existe adesão econômica para uma saída negociada?</x:v>
      </x:c>
      <x:c r="E9" s="33" t="str">
        <x:v>prêmio e adesão de 100% da série abrangida</x:v>
      </x:c>
    </x:row>
    <x:row r="12">
      <x:c r="A12" s="32" t="str">
        <x:v>Lacunas que impedem recomendação</x:v>
      </x:c>
      <x:c r="B12" s="32"/>
      <x:c r="C12" s="32"/>
      <x:c r="D12" s="32"/>
      <x:c r="E12" s="32"/>
    </x:row>
    <x:row r="13">
      <x:c r="A13" s="15" t="str">
        <x:v>ID</x:v>
      </x:c>
      <x:c r="B13" s="15" t="str">
        <x:v>Materialidade</x:v>
      </x:c>
      <x:c r="C13" s="15" t="str">
        <x:v>Tema</x:v>
      </x:c>
      <x:c r="D13" s="15" t="str">
        <x:v>Informação ausente</x:v>
      </x:c>
      <x:c r="E13" s="15" t="str">
        <x:v>Consequência</x:v>
      </x:c>
    </x:row>
    <x:row r="14">
      <x:c r="A14" s="33" t="str">
        <x:v>GAP-01</x:v>
      </x:c>
      <x:c r="B14" s="33" t="str">
        <x:v>blocking</x:v>
      </x:c>
      <x:c r="C14" s="33" t="str">
        <x:v>Covenant prospectivo</x:v>
      </x:c>
      <x:c r="D14" s="33" t="str">
        <x:v>EBITDA contratual, ajustes, caixa dedutível e degrau aplicável por data</x:v>
      </x:c>
      <x:c r="E14" s="33" t="str">
        <x:v>não calcular headroom nem afirmar cumprimento</x:v>
      </x:c>
    </x:row>
    <x:row r="15">
      <x:c r="A15" s="33" t="str">
        <x:v>GAP-02</x:v>
      </x:c>
      <x:c r="B15" s="33" t="str">
        <x:v>blocking</x:v>
      </x:c>
      <x:c r="C15" s="33" t="str">
        <x:v>Custo de saída</x:v>
      </x:c>
      <x:c r="D15" s="33" t="str">
        <x:v>principal nominal, juros acumulados, encargos e termos de pré-pagamento</x:v>
      </x:c>
      <x:c r="E15" s="33" t="str">
        <x:v>não ranquear estruturas que retiram dívida</x:v>
      </x:c>
    </x:row>
    <x:row r="16">
      <x:c r="A16" s="33" t="str">
        <x:v>GAP-03</x:v>
      </x:c>
      <x:c r="B16" s="33" t="str">
        <x:v>high</x:v>
      </x:c>
      <x:c r="C16" s="33" t="str">
        <x:v>Curva de juros</x:v>
      </x:c>
      <x:c r="D16" s="33" t="str">
        <x:v>curva DI futura observável e hedge por instrumento</x:v>
      </x:c>
      <x:c r="E16" s="33" t="str">
        <x:v>juros prospectivos permanecem cenário, não preço</x:v>
      </x:c>
    </x:row>
    <x:row r="17">
      <x:c r="A17" s="33" t="str">
        <x:v>GAP-04</x:v>
      </x:c>
      <x:c r="B17" s="33" t="str">
        <x:v>high</x:v>
      </x:c>
      <x:c r="C17" s="33" t="str">
        <x:v>Modelo integrado</x:v>
      </x:c>
      <x:c r="D17" s="33" t="str">
        <x:v>histórico por linha, balanço, fluxo de caixa e projeções por produto/geografia</x:v>
      </x:c>
      <x:c r="E17" s="33" t="str">
        <x:v>modelo atual é de caixa e dívida, não projeção integrada</x:v>
      </x:c>
    </x:row>
    <x:row r="18">
      <x:c r="A18" s="33" t="str">
        <x:v>GAP-05</x:v>
      </x:c>
      <x:c r="B18" s="33" t="str">
        <x:v>high</x:v>
      </x:c>
      <x:c r="C18" s="33" t="str">
        <x:v>Tributos</x:v>
      </x:c>
      <x:c r="D18" s="33" t="str">
        <x:v>regime, efeitos da reforma e tratamento das alternativas</x:v>
      </x:c>
      <x:c r="E18" s="33" t="str">
        <x:v>comparação após impostos permanece aberta</x:v>
      </x:c>
    </x:row>
    <x:row r="19">
      <x:c r="A19" s="33" t="str">
        <x:v>GAP-06</x:v>
      </x:c>
      <x:c r="B19" s="33" t="str">
        <x:v>high</x:v>
      </x:c>
      <x:c r="C19" s="33" t="str">
        <x:v>Liquidez intraperíodo</x:v>
      </x:c>
      <x:c r="D19" s="33" t="str">
        <x:v>sazonalidade mensal e disponibilidade D0</x:v>
      </x:c>
      <x:c r="E19" s="33" t="str">
        <x:v>a análise anual pode esconder picos de caixa</x:v>
      </x:c>
    </x:row>
  </x:sheetData>
  <x:mergeCells>
    <x:mergeCell ref="A1:E1"/>
    <x:mergeCell ref="A2:E2"/>
    <x:mergeCell ref="A12:E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9737E"/>
  </x:sheetPr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38" hidden="0" customWidth="1"/>
    <x:col min="4" max="4" width="18" hidden="0" customWidth="1"/>
    <x:col min="5" max="5" width="18" hidden="0" customWidth="1"/>
    <x:col min="6" max="6" width="38" hidden="0" customWidth="1"/>
    <x:col min="7" max="7" width="38" hidden="0" customWidth="1"/>
  </x:cols>
  <x:sheetData>
    <x:row r="1" ht="38" customHeight="1">
      <x:c r="A1" s="5" t="str">
        <x:v>Fontes e rastreabilidade</x:v>
      </x:c>
      <x:c r="B1" s="5"/>
      <x:c r="C1" s="5"/>
      <x:c r="D1" s="5"/>
      <x:c r="E1" s="5"/>
      <x:c r="F1" s="5"/>
      <x:c r="G1" s="5"/>
    </x:row>
    <x:row r="2" ht="26" customHeight="1">
      <x:c r="A2" s="8" t="str">
        <x:v>Cada fonte informa classe, data-base, uso e âncora. Informações sintéticas não são apresentadas como dados da companhia.</x:v>
      </x:c>
      <x:c r="B2" s="8"/>
      <x:c r="C2" s="8"/>
      <x:c r="D2" s="8"/>
      <x:c r="E2" s="8"/>
      <x:c r="F2" s="8"/>
      <x:c r="G2" s="8"/>
    </x:row>
    <x:row r="4">
      <x:c r="A4" s="15" t="str">
        <x:v>ID</x:v>
      </x:c>
      <x:c r="B4" s="15" t="str">
        <x:v>Fonte</x:v>
      </x:c>
      <x:c r="C4" s="15" t="str">
        <x:v>Arquivo</x:v>
      </x:c>
      <x:c r="D4" s="15" t="str">
        <x:v>Data-base</x:v>
      </x:c>
      <x:c r="E4" s="15" t="str">
        <x:v>Classe</x:v>
      </x:c>
      <x:c r="F4" s="15" t="str">
        <x:v>Uso</x:v>
      </x:c>
      <x:c r="G4" s="15" t="str">
        <x:v>Âncora</x:v>
      </x:c>
    </x:row>
    <x:row r="5">
      <x:c r="A5" s="33" t="str">
        <x:v>SRC-01</x:v>
      </x:c>
      <x:c r="B5" s="33" t="str">
        <x:v>ITR 1T26</x:v>
      </x:c>
      <x:c r="C5" s="33" t="str">
        <x:v>01_ITR_1T26_31mai2026.pdf</x:v>
      </x:c>
      <x:c r="D5" s="33" t="str">
        <x:v>2026-05-31</x:v>
      </x:c>
      <x:c r="E5" s="33" t="str">
        <x:v>public</x:v>
      </x:c>
      <x:c r="F5" s="33" t="str">
        <x:v>dívida, caixa e cronograma</x:v>
      </x:c>
      <x:c r="G5" s="33" t="str">
        <x:v>nota 15, pp. 39-40; nota 3, p. 20</x:v>
      </x:c>
    </x:row>
    <x:row r="6">
      <x:c r="A6" s="33" t="str">
        <x:v>SRC-02</x:v>
      </x:c>
      <x:c r="B6" s="33" t="str">
        <x:v>Release 1T26</x:v>
      </x:c>
      <x:c r="C6" s="33" t="str">
        <x:v>ri_release_1t26.pdf</x:v>
      </x:c>
      <x:c r="D6" s="33" t="str">
        <x:v>2026-05-31</x:v>
      </x:c>
      <x:c r="E6" s="33" t="str">
        <x:v>public</x:v>
      </x:c>
      <x:c r="F6" s="33" t="str">
        <x:v>dívida líquida reportada e indicador pro forma</x:v>
      </x:c>
      <x:c r="G6" s="33" t="str">
        <x:v>p. 12</x:v>
      </x:c>
    </x:row>
    <x:row r="7">
      <x:c r="A7" s="33" t="str">
        <x:v>SRC-03</x:v>
      </x:c>
      <x:c r="B7" s="33" t="str">
        <x:v>Relatórios e escrituras</x:v>
      </x:c>
      <x:c r="C7" s="33" t="str">
        <x:v>af_11a/13a/14a/15a e escrituras</x:v>
      </x:c>
      <x:c r="D7" s="33" t="str">
        <x:v>2026-09-04</x:v>
      </x:c>
      <x:c r="E7" s="33" t="str">
        <x:v>public</x:v>
      </x:c>
      <x:c r="F7" s="33" t="str">
        <x:v>remuneração, vencimento, garantia e covenant</x:v>
      </x:c>
      <x:c r="G7" s="33" t="str">
        <x:v>âncoras por série no ledger</x:v>
      </x:c>
    </x:row>
    <x:row r="8">
      <x:c r="A8" s="33" t="str">
        <x:v>SRC-04</x:v>
      </x:c>
      <x:c r="B8" s="33" t="str">
        <x:v>Orçamento sintético</x:v>
      </x:c>
      <x:c r="C8" s="33" t="str">
        <x:v>01_Orcamento_2026_2027.xlsx</x:v>
      </x:c>
      <x:c r="D8" s="33" t="str">
        <x:v>2026-09-04</x:v>
      </x:c>
      <x:c r="E8" s="33" t="str">
        <x:v>synthetic_management</x:v>
      </x:c>
      <x:c r="F8" s="33" t="str">
        <x:v>receita, EBITDA, impostos e capital de giro</x:v>
      </x:c>
      <x:c r="G8" s="33" t="str">
        <x:v>abas Orçamento e Premissas</x:v>
      </x:c>
    </x:row>
    <x:row r="9">
      <x:c r="A9" s="33" t="str">
        <x:v>SRC-05</x:v>
      </x:c>
      <x:c r="B9" s="33" t="str">
        <x:v>Plano de capex sintético</x:v>
      </x:c>
      <x:c r="C9" s="33" t="str">
        <x:v>02_Plano_Capex.xlsx</x:v>
      </x:c>
      <x:c r="D9" s="33" t="str">
        <x:v>2026-09-04</x:v>
      </x:c>
      <x:c r="E9" s="33" t="str">
        <x:v>synthetic_management</x:v>
      </x:c>
      <x:c r="F9" s="33" t="str">
        <x:v>capex de manutenção e crescimento</x:v>
      </x:c>
      <x:c r="G9" s="33" t="str">
        <x:v>aba Capex</x:v>
      </x:c>
    </x:row>
    <x:row r="10">
      <x:c r="A10" s="33" t="str">
        <x:v>SRC-06</x:v>
      </x:c>
      <x:c r="B10" s="33" t="str">
        <x:v>Política de caixa sintética</x:v>
      </x:c>
      <x:c r="C10" s="33" t="str">
        <x:v>03_Politica_Caixa_Minimo.docx</x:v>
      </x:c>
      <x:c r="D10" s="33" t="str">
        <x:v>2026-09-04</x:v>
      </x:c>
      <x:c r="E10" s="33" t="str">
        <x:v>synthetic_management</x:v>
      </x:c>
      <x:c r="F10" s="33" t="str">
        <x:v>piso de liquidez</x:v>
      </x:c>
      <x:c r="G10" s="33" t="str">
        <x:v>corpo do documento</x:v>
      </x:c>
    </x:row>
    <x:row r="11">
      <x:c r="A11" s="33" t="str">
        <x:v>SRC-07</x:v>
      </x:c>
      <x:c r="B11" s="33" t="str">
        <x:v>Cronograma contratual sintético</x:v>
      </x:c>
      <x:c r="C11" s="33" t="str">
        <x:v>04_Cronograma_Contratual_Amortizacoes.xlsx</x:v>
      </x:c>
      <x:c r="D11" s="33" t="str">
        <x:v>2026-09-04</x:v>
      </x:c>
      <x:c r="E11" s="33" t="str">
        <x:v>synthetic_management</x:v>
      </x:c>
      <x:c r="F11" s="33" t="str">
        <x:v>principal de caixa por série</x:v>
      </x:c>
      <x:c r="G11" s="33" t="str">
        <x:v>aba Cronograma</x:v>
      </x:c>
    </x:row>
    <x:row r="12">
      <x:c r="A12" s="33" t="str">
        <x:v>SRC-08</x:v>
      </x:c>
      <x:c r="B12" s="33" t="str">
        <x:v>Curvas de mercado congeladas</x:v>
      </x:c>
      <x:c r="C12" s="33" t="str">
        <x:v>anbima_ettj_2026-09-04.csv; BCB SGS</x:v>
      </x:c>
      <x:c r="D12" s="33" t="str">
        <x:v>2026-09-04</x:v>
      </x:c>
      <x:c r="E12" s="33" t="str">
        <x:v>public_market</x:v>
      </x:c>
      <x:c r="F12" s="33" t="str">
        <x:v>CDI spot, Selic e inflação implícita</x:v>
      </x:c>
      <x:c r="G12" s="33" t="str">
        <x:v>ETTJ e séries 12/432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69737E"/>
  </x:sheetPr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42" hidden="0" customWidth="1"/>
    <x:col min="4" max="4" width="42" hidden="0" customWidth="1"/>
  </x:cols>
  <x:sheetData>
    <x:row r="1" ht="38" customHeight="1">
      <x:c r="A1" s="5" t="str">
        <x:v>Checks terminais</x:v>
      </x:c>
      <x:c r="B1" s="5"/>
      <x:c r="C1" s="5"/>
      <x:c r="D1" s="5"/>
    </x:row>
    <x:row r="2" ht="26" customHeight="1">
      <x:c r="A2" s="8" t="str">
        <x:v>Estes controles observam o modelo e não alimentam qualquer resultado.</x:v>
      </x:c>
      <x:c r="B2" s="8"/>
      <x:c r="C2" s="8"/>
      <x:c r="D2" s="8"/>
    </x:row>
    <x:row r="4">
      <x:c r="A4" s="15" t="str">
        <x:v>Check</x:v>
      </x:c>
      <x:c r="B4" s="15" t="str">
        <x:v>Resultado</x:v>
      </x:c>
      <x:c r="C4" s="15" t="str">
        <x:v>Tolerância</x:v>
      </x:c>
      <x:c r="D4" s="15" t="str">
        <x:v>Leitura</x:v>
      </x:c>
    </x:row>
    <x:row r="5">
      <x:c r="A5" s="18" t="str">
        <x:v>Ponte contábil</x:v>
      </x:c>
      <x:c r="B5" s="56" t="n">
        <x:f>5742510-9099-63225-5670186</x:f>
        <x:v>0</x:v>
      </x:c>
      <x:c r="C5" s="56" t="n">
        <x:v>0</x:v>
      </x:c>
      <x:c r="D5" s="18" t="str">
        <x:v>zero</x:v>
      </x:c>
    </x:row>
    <x:row r="6">
      <x:c r="A6" s="18" t="str">
        <x:v>Cronograma contratual</x:v>
      </x:c>
      <x:c r="B6" s="56" t="n">
        <x:f>SUM('Divida'!$J$24:$J$119)-5742510</x:f>
        <x:v>0</x:v>
      </x:c>
      <x:c r="C6" s="56" t="n">
        <x:v>0</x:v>
      </x:c>
      <x:c r="D6" s="18" t="str">
        <x:v>zero</x:v>
      </x:c>
    </x:row>
    <x:row r="7">
      <x:c r="A7" s="18" t="str">
        <x:v>Saldo final por série</x:v>
      </x:c>
      <x:c r="B7" s="56" t="n">
        <x:f>SUMIFS('Divida'!$L$24:$L$119,'Divida'!$A$24:$A$119,"Após 2031")</x:f>
        <x:v>0</x:v>
      </x:c>
      <x:c r="C7" s="56" t="n">
        <x:v>1</x:v>
      </x:c>
      <x:c r="D7" s="18" t="str">
        <x:v>zero após último período</x:v>
      </x:c>
    </x:row>
    <x:row r="8">
      <x:c r="A8" s="18" t="str">
        <x:v>Caixa 2026/27 vs snapshot</x:v>
      </x:c>
      <x:c r="B8" s="56" t="n">
        <x:f>'Modelo'!B24-956560.81457019</x:f>
        <x:v>0.015000006998889148</x:v>
      </x:c>
      <x:c r="C8" s="56" t="n">
        <x:v>1</x:v>
      </x:c>
      <x:c r="D8" s="18" t="str">
        <x:v>zero</x:v>
      </x:c>
    </x:row>
    <x:row r="9">
      <x:c r="A9" s="18" t="str">
        <x:v>Caixa 2030/31 vs snapshot</x:v>
      </x:c>
      <x:c r="B9" s="56" t="n">
        <x:f>'Modelo'!F24--308694.56804881</x:f>
        <x:v>0.07806060824077576</x:v>
      </x:c>
      <x:c r="C9" s="56" t="n">
        <x:v>1</x:v>
      </x:c>
      <x:c r="D9" s="18" t="str">
        <x:v>zero</x:v>
      </x:c>
    </x:row>
    <x:row r="10">
      <x:c r="A10" s="18" t="str">
        <x:v>Alavancagem 2030/31 vs snapshot</x:v>
      </x:c>
      <x:c r="B10" s="56" t="n">
        <x:f>'Modelo'!F32-6.50146036</x:f>
        <x:v>-1.9233934267504083e-7</x:v>
      </x:c>
      <x:c r="C10" s="56" t="n">
        <x:v>0.01</x:v>
      </x:c>
      <x:c r="D10" s="18" t="str">
        <x:v>zero</x:v>
      </x:c>
    </x:row>
    <x:row r="12">
      <x:c r="A12" s="15" t="str">
        <x:v>Limite</x:v>
      </x:c>
      <x:c r="B12" s="15" t="str">
        <x:v>Estado</x:v>
      </x:c>
      <x:c r="C12" s="15" t="str">
        <x:v>Motivo</x:v>
      </x:c>
      <x:c r="D12" s="15" t="str">
        <x:v>Ação</x:v>
      </x:c>
    </x:row>
    <x:row r="13">
      <x:c r="A13" s="33" t="str">
        <x:v>Covenant prospectivo</x:v>
      </x:c>
      <x:c r="B13" s="33" t="str">
        <x:v>Não calculável</x:v>
      </x:c>
      <x:c r="C13" s="33" t="str">
        <x:v>definições contratuais incompletas</x:v>
      </x:c>
      <x:c r="D13" s="33" t="str">
        <x:v>obter memória de cálculo e degraus</x:v>
      </x:c>
    </x:row>
    <x:row r="14">
      <x:c r="A14" s="33" t="str">
        <x:v>Custo de saída</x:v>
      </x:c>
      <x:c r="B14" s="33" t="str">
        <x:v>Não calculável</x:v>
      </x:c>
      <x:c r="C14" s="33" t="str">
        <x:v>pré-pagamento e prêmio não comprovados</x:v>
      </x:c>
      <x:c r="D14" s="33" t="str">
        <x:v>obter bases de liquidação</x:v>
      </x:c>
    </x:row>
    <x:row r="15">
      <x:c r="A15" s="33" t="str">
        <x:v>Preço de nova dívida</x:v>
      </x:c>
      <x:c r="B15" s="33" t="str">
        <x:v>Cenário</x:v>
      </x:c>
      <x:c r="C15" s="33" t="str">
        <x:v>curva DI futura e spread executável ausentes</x:v>
      </x:c>
      <x:c r="D15" s="33" t="str">
        <x:v>atualizar mercado e sondagem</x:v>
      </x:c>
    </x:row>
    <x:row r="16">
      <x:c r="A16" s="33" t="str">
        <x:v>Recomendação</x:v>
      </x:c>
      <x:c r="B16" s="33" t="str">
        <x:v>Bloqueada</x:v>
      </x:c>
      <x:c r="C16" s="33" t="str">
        <x:v>economia comparável incompleta</x:v>
      </x:c>
      <x:c r="D16" s="33" t="str">
        <x:v>fechar gaps antes de ranquear</x:v>
      </x:c>
    </x:row>
  </x:sheetData>
  <x:mergeCells>
    <x:mergeCell ref="A1:D1"/>
    <x:mergeCell ref="A2:D2"/>
  </x:mergeCells>
  <x:conditionalFormatting sqref="B5:B10">
    <x:cfRule type="cellIs" dxfId="0" priority="1" operator="between">
      <x:formula>-1</x:formula>
      <x:formula>1</x:formula>
    </x:cfRule>
  </x:conditionalFormatting>
  <x:pageMargins left="0.7" right="0.7" top="0.75" bottom="0.75" header="0.3" footer="0.3"/>
</x:worksheet>
</file>